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PI-2025\d.Ahmad\Final Project\Final\"/>
    </mc:Choice>
  </mc:AlternateContent>
  <xr:revisionPtr revIDLastSave="0" documentId="13_ncr:1_{75A5F411-47C4-400E-AB88-4B16699BE24A}" xr6:coauthVersionLast="47" xr6:coauthVersionMax="47" xr10:uidLastSave="{00000000-0000-0000-0000-000000000000}"/>
  <bookViews>
    <workbookView xWindow="-120" yWindow="-120" windowWidth="20730" windowHeight="11160" xr2:uid="{1A15084E-3505-462A-95AE-9F1083D45490}"/>
  </bookViews>
  <sheets>
    <sheet name="project" sheetId="1" r:id="rId1"/>
  </sheets>
  <definedNames>
    <definedName name="_xlnm._FilterDatabase" localSheetId="0" hidden="1">project!#REF!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Z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</calcChain>
</file>

<file path=xl/sharedStrings.xml><?xml version="1.0" encoding="utf-8"?>
<sst xmlns="http://schemas.openxmlformats.org/spreadsheetml/2006/main" count="1027" uniqueCount="157">
  <si>
    <t>p_type</t>
  </si>
  <si>
    <t>SKU</t>
  </si>
  <si>
    <t>Price</t>
  </si>
  <si>
    <t>no_prod_sold</t>
  </si>
  <si>
    <t>customer_lt</t>
  </si>
  <si>
    <t>order_qun</t>
  </si>
  <si>
    <t>shipping_lt</t>
  </si>
  <si>
    <t>shipping_carr</t>
  </si>
  <si>
    <t>shipping_cost</t>
  </si>
  <si>
    <t>sup_name</t>
  </si>
  <si>
    <t>delv_location</t>
  </si>
  <si>
    <t>prod_volum</t>
  </si>
  <si>
    <t>manfuct_lt</t>
  </si>
  <si>
    <t>manfuct_cost</t>
  </si>
  <si>
    <t>inspect_resl</t>
  </si>
  <si>
    <t>def_rate</t>
  </si>
  <si>
    <t>trans_modes</t>
  </si>
  <si>
    <t>Routes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</si>
  <si>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</si>
  <si>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</si>
  <si>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</si>
  <si>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</si>
  <si>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</si>
  <si>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</si>
  <si>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</si>
  <si>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</si>
  <si>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</si>
  <si>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</si>
  <si>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</si>
  <si>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</si>
  <si>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</si>
  <si>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</si>
  <si>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</si>
  <si>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</si>
  <si>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</si>
  <si>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</si>
  <si>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</si>
  <si>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</si>
  <si>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</si>
  <si>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</si>
  <si>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</si>
  <si>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</si>
  <si>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</si>
  <si>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</si>
  <si>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</si>
  <si>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</si>
  <si>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</si>
  <si>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</si>
  <si>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</si>
  <si>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</si>
  <si>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</si>
  <si>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</si>
  <si>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</si>
  <si>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</si>
  <si>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</si>
  <si>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</si>
  <si>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</si>
  <si>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</si>
  <si>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</si>
  <si>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</si>
  <si>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</si>
  <si>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</si>
  <si>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</si>
  <si>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</si>
  <si>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</si>
  <si>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</si>
  <si>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</si>
  <si>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</si>
  <si>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</si>
  <si>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</si>
  <si>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</si>
  <si>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</si>
  <si>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</si>
  <si>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</si>
  <si>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</si>
  <si>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</si>
  <si>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</si>
  <si>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</si>
  <si>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</si>
  <si>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</si>
  <si>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</si>
  <si>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</si>
  <si>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</si>
  <si>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</si>
  <si>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</si>
  <si>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</si>
  <si>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</si>
  <si>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</si>
  <si>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</si>
  <si>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</si>
  <si>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</si>
  <si>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</si>
  <si>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</si>
  <si>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</si>
  <si>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</si>
  <si>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</si>
  <si>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</si>
  <si>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</si>
  <si>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</si>
  <si>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</si>
  <si>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</si>
  <si>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</si>
  <si>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</si>
  <si>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</si>
  <si>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</si>
  <si>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</si>
  <si>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</si>
  <si>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</si>
  <si>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</si>
  <si>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</si>
  <si>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</si>
  <si>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</si>
  <si>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</si>
  <si>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</si>
  <si>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</si>
  <si>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</si>
  <si>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</si>
  <si>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</si>
  <si>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</si>
  <si>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</si>
  <si>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</si>
  <si>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</si>
  <si>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</si>
  <si>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</si>
  <si>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</si>
  <si>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</si>
  <si>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</si>
  <si>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</si>
  <si>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</si>
  <si>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</si>
  <si>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</si>
  <si>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</si>
  <si>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</si>
  <si>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</si>
  <si>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</si>
  <si>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</si>
  <si>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</si>
  <si>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</si>
  <si>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</si>
  <si>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</si>
  <si>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</si>
  <si>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</si>
  <si>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</si>
  <si>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</si>
  <si>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</si>
  <si>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</si>
  <si>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</si>
  <si>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avail_per</t>
  </si>
  <si>
    <t>stock_per</t>
  </si>
  <si>
    <t>supplier_lt</t>
  </si>
  <si>
    <t>total_costs</t>
  </si>
  <si>
    <t>other_costs</t>
  </si>
  <si>
    <t>total_times</t>
  </si>
  <si>
    <t>gender</t>
  </si>
  <si>
    <t>Unknown</t>
  </si>
  <si>
    <t>modyfied_gender</t>
  </si>
  <si>
    <t>Revenue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</si>
</sst>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34" borderId="0" xfId="0" applyFont="1" applyFill="1" applyAlignment="1">
      <alignment horizontal="center"/>
    </xf>
    <xf numFmtId="2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F59E-451C-4987-99C7-D0A24D6BA712}">
  <dimension ref="A1:AA101"/>
  <sheetViews>
    <sheetView tabSelected="1" workbookViewId="0">
      <selection activeCell="AB1" sqref="AB1:AB1048576"/>
    </sheetView>
  </sheetViews>
  <sheetFormatPr defaultRowHeight="15" x14ac:dyDescent="0.25"/>
  <cols>
    <col min="2" max="2" width="7.5703125" customWidth="1"/>
    <col min="3" max="3" width="9.5703125" bestFit="1" customWidth="1"/>
    <col min="4" max="5" width="9.140625" style="3"/>
    <col min="6" max="6" width="13.28515625" style="3" customWidth="1"/>
    <col min="7" max="7" width="11" style="3" customWidth="1"/>
    <col min="8" max="8" width="11.42578125" style="3" customWidth="1"/>
    <col min="9" max="9" width="12.85546875" style="3" customWidth="1"/>
    <col min="10" max="10" width="13.7109375" style="6" customWidth="1"/>
    <col min="11" max="11" width="12.7109375" style="3" customWidth="1"/>
    <col min="12" max="12" width="11.85546875" style="3" customWidth="1"/>
    <col min="13" max="13" width="13.7109375" style="3" customWidth="1"/>
    <col min="14" max="14" width="14.5703125" style="3" customWidth="1"/>
    <col min="15" max="15" width="11" style="3" customWidth="1"/>
    <col min="16" max="16" width="13.5703125" style="3" customWidth="1"/>
    <col min="17" max="17" width="11.7109375" style="3" customWidth="1"/>
    <col min="18" max="18" width="13.140625" style="3" customWidth="1"/>
    <col min="19" max="19" width="11.5703125" style="3" customWidth="1"/>
    <col min="20" max="20" width="13.7109375" style="3" customWidth="1"/>
    <col min="21" max="21" width="13.28515625" style="3" customWidth="1"/>
    <col min="22" max="22" width="10.28515625" style="3" customWidth="1"/>
    <col min="23" max="23" width="12.7109375" style="3" customWidth="1"/>
    <col min="24" max="24" width="10.140625" style="3" customWidth="1"/>
    <col min="25" max="25" width="11.42578125" style="3" customWidth="1"/>
    <col min="26" max="26" width="12.5703125" style="6" customWidth="1"/>
    <col min="27" max="27" width="13.85546875" style="6" customWidth="1"/>
  </cols>
  <sheetData>
    <row r="1" spans="1:27" s="1" customFormat="1" x14ac:dyDescent="0.25">
      <c r="A1" s="1" t="s">
        <v>0</v>
      </c>
      <c r="B1" s="1" t="s">
        <v>1</v>
      </c>
      <c r="C1" t="s">
        <v>156</v>
      </c>
      <c r="D1" s="2" t="s">
        <v>2</v>
      </c>
      <c r="E1" s="2" t="s">
        <v>147</v>
      </c>
      <c r="F1" s="2" t="s">
        <v>3</v>
      </c>
      <c r="G1" s="2" t="s">
        <v>148</v>
      </c>
      <c r="H1" s="2" t="s">
        <v>5</v>
      </c>
      <c r="I1" s="2" t="s">
        <v>153</v>
      </c>
      <c r="J1" s="4" t="s">
        <v>155</v>
      </c>
      <c r="K1" s="2" t="s">
        <v>4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149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4" t="s">
        <v>150</v>
      </c>
      <c r="Z1" s="4" t="s">
        <v>151</v>
      </c>
      <c r="AA1" s="4" t="s">
        <v>152</v>
      </c>
    </row>
    <row r="2" spans="1:27" x14ac:dyDescent="0.25">
      <c r="A2" t="s">
        <v>18</v>
      </c>
      <c r="B2" t="s">
        <v>19</v>
      </c>
      <c r="C2" s="8">
        <v>8661.9967923923796</v>
      </c>
      <c r="D2" s="3">
        <v>69.808005539999996</v>
      </c>
      <c r="E2" s="3">
        <v>55</v>
      </c>
      <c r="F2" s="3">
        <v>802</v>
      </c>
      <c r="G2" s="3">
        <v>58</v>
      </c>
      <c r="H2" s="3">
        <v>96</v>
      </c>
      <c r="I2" s="3" t="s">
        <v>20</v>
      </c>
      <c r="J2" s="6" t="s">
        <v>20</v>
      </c>
      <c r="K2" s="3">
        <v>7</v>
      </c>
      <c r="L2" s="3">
        <v>4</v>
      </c>
      <c r="M2" s="3" t="s">
        <v>21</v>
      </c>
      <c r="N2" s="3">
        <v>2.9565721389999999</v>
      </c>
      <c r="O2" s="3" t="s">
        <v>22</v>
      </c>
      <c r="P2" s="3" t="s">
        <v>23</v>
      </c>
      <c r="Q2" s="3">
        <v>29</v>
      </c>
      <c r="R2" s="3">
        <v>215</v>
      </c>
      <c r="S2" s="3">
        <v>29</v>
      </c>
      <c r="T2" s="3">
        <v>46.27987924</v>
      </c>
      <c r="U2" s="3" t="s">
        <v>24</v>
      </c>
      <c r="V2" s="3">
        <v>0.226410361</v>
      </c>
      <c r="W2" s="3" t="s">
        <v>25</v>
      </c>
      <c r="X2" s="3" t="s">
        <v>26</v>
      </c>
      <c r="Y2" s="7">
        <v>187.75207549999999</v>
      </c>
      <c r="Z2" s="5">
        <f>Y2-(T2+N2)</f>
        <v>138.51562412099997</v>
      </c>
      <c r="AA2" s="6">
        <f t="shared" ref="AA2:AA33" si="0">S2+Q2+L2+K2</f>
        <v>69</v>
      </c>
    </row>
    <row r="3" spans="1:27" x14ac:dyDescent="0.25">
      <c r="A3" t="s">
        <v>27</v>
      </c>
      <c r="B3" t="s">
        <v>28</v>
      </c>
      <c r="C3" s="8">
        <v>7460.9000654458396</v>
      </c>
      <c r="D3" s="3">
        <v>14.843523279999999</v>
      </c>
      <c r="E3" s="3">
        <v>95</v>
      </c>
      <c r="F3" s="3">
        <v>736</v>
      </c>
      <c r="G3" s="3">
        <v>53</v>
      </c>
      <c r="H3" s="3">
        <v>37</v>
      </c>
      <c r="I3" s="3" t="s">
        <v>29</v>
      </c>
      <c r="J3" s="6" t="s">
        <v>29</v>
      </c>
      <c r="K3" s="3">
        <v>30</v>
      </c>
      <c r="L3" s="3">
        <v>2</v>
      </c>
      <c r="M3" s="3" t="s">
        <v>30</v>
      </c>
      <c r="N3" s="3">
        <v>9.7165747709999994</v>
      </c>
      <c r="O3" s="3" t="s">
        <v>22</v>
      </c>
      <c r="P3" s="3" t="s">
        <v>23</v>
      </c>
      <c r="Q3" s="3">
        <v>23</v>
      </c>
      <c r="R3" s="3">
        <v>517</v>
      </c>
      <c r="S3" s="3">
        <v>30</v>
      </c>
      <c r="T3" s="3">
        <v>33.616768950000001</v>
      </c>
      <c r="U3" s="3" t="s">
        <v>24</v>
      </c>
      <c r="V3" s="3">
        <v>4.8540680260000002</v>
      </c>
      <c r="W3" s="3" t="s">
        <v>25</v>
      </c>
      <c r="X3" s="3" t="s">
        <v>26</v>
      </c>
      <c r="Y3" s="7">
        <v>503.06557909999998</v>
      </c>
      <c r="Z3" s="5">
        <f t="shared" ref="Z3:Z33" si="1">Y3-(T3+N3)</f>
        <v>459.73223537899997</v>
      </c>
      <c r="AA3" s="6">
        <f t="shared" si="0"/>
        <v>85</v>
      </c>
    </row>
    <row r="4" spans="1:27" x14ac:dyDescent="0.25">
      <c r="A4" t="s">
        <v>18</v>
      </c>
      <c r="B4" t="s">
        <v>31</v>
      </c>
      <c r="C4" s="8">
        <v>9577.7496260000007</v>
      </c>
      <c r="D4" s="3">
        <v>11.31968329</v>
      </c>
      <c r="E4" s="3">
        <v>34</v>
      </c>
      <c r="F4" s="3">
        <v>8</v>
      </c>
      <c r="G4" s="3">
        <v>1</v>
      </c>
      <c r="H4" s="3">
        <v>88</v>
      </c>
      <c r="I4" s="3" t="s">
        <v>154</v>
      </c>
      <c r="J4" s="6" t="s">
        <v>48</v>
      </c>
      <c r="K4" s="3">
        <v>10</v>
      </c>
      <c r="L4" s="3">
        <v>2</v>
      </c>
      <c r="M4" s="3" t="s">
        <v>21</v>
      </c>
      <c r="N4" s="3">
        <v>8.0544792619999992</v>
      </c>
      <c r="O4" s="3" t="s">
        <v>32</v>
      </c>
      <c r="P4" s="3" t="s">
        <v>23</v>
      </c>
      <c r="Q4" s="3">
        <v>12</v>
      </c>
      <c r="R4" s="3">
        <v>971</v>
      </c>
      <c r="S4" s="3">
        <v>27</v>
      </c>
      <c r="T4" s="3">
        <v>30.688019350000001</v>
      </c>
      <c r="U4" s="3" t="s">
        <v>24</v>
      </c>
      <c r="V4" s="3">
        <v>4.5805926189999999</v>
      </c>
      <c r="W4" s="3" t="s">
        <v>33</v>
      </c>
      <c r="X4" s="3" t="s">
        <v>34</v>
      </c>
      <c r="Y4" s="7">
        <v>141.9202818</v>
      </c>
      <c r="Z4" s="5">
        <f t="shared" si="1"/>
        <v>103.17778318800001</v>
      </c>
      <c r="AA4" s="6">
        <f t="shared" si="0"/>
        <v>51</v>
      </c>
    </row>
    <row r="5" spans="1:27" x14ac:dyDescent="0.25">
      <c r="A5" t="s">
        <v>27</v>
      </c>
      <c r="B5" t="s">
        <v>35</v>
      </c>
      <c r="C5" s="8">
        <v>7766.8364256852301</v>
      </c>
      <c r="D5" s="3">
        <v>61.163343019999999</v>
      </c>
      <c r="E5" s="3">
        <v>68</v>
      </c>
      <c r="F5" s="3">
        <v>83</v>
      </c>
      <c r="G5" s="3">
        <v>23</v>
      </c>
      <c r="H5" s="3">
        <v>59</v>
      </c>
      <c r="I5" s="3" t="s">
        <v>20</v>
      </c>
      <c r="J5" s="6" t="s">
        <v>20</v>
      </c>
      <c r="K5" s="3">
        <v>13</v>
      </c>
      <c r="L5" s="3">
        <v>6</v>
      </c>
      <c r="M5" s="3" t="s">
        <v>36</v>
      </c>
      <c r="N5" s="3">
        <v>1.729568564</v>
      </c>
      <c r="O5" s="3" t="s">
        <v>37</v>
      </c>
      <c r="P5" s="3" t="s">
        <v>38</v>
      </c>
      <c r="Q5" s="3">
        <v>24</v>
      </c>
      <c r="R5" s="3">
        <v>937</v>
      </c>
      <c r="S5" s="3">
        <v>18</v>
      </c>
      <c r="T5" s="3">
        <v>35.624741399999998</v>
      </c>
      <c r="U5" s="3" t="s">
        <v>39</v>
      </c>
      <c r="V5" s="3">
        <v>4.7466486210000003</v>
      </c>
      <c r="W5" s="3" t="s">
        <v>40</v>
      </c>
      <c r="X5" s="3" t="s">
        <v>41</v>
      </c>
      <c r="Y5" s="7">
        <v>254.7761592</v>
      </c>
      <c r="Z5" s="5">
        <f t="shared" si="1"/>
        <v>217.42184923600001</v>
      </c>
      <c r="AA5" s="6">
        <f t="shared" si="0"/>
        <v>61</v>
      </c>
    </row>
    <row r="6" spans="1:27" x14ac:dyDescent="0.25">
      <c r="A6" t="s">
        <v>27</v>
      </c>
      <c r="B6" t="s">
        <v>42</v>
      </c>
      <c r="C6" s="8">
        <v>2686.50515156744</v>
      </c>
      <c r="D6" s="3">
        <v>4.8054960360000001</v>
      </c>
      <c r="E6" s="3">
        <v>26</v>
      </c>
      <c r="F6" s="3">
        <v>871</v>
      </c>
      <c r="G6" s="3">
        <v>5</v>
      </c>
      <c r="H6" s="3">
        <v>56</v>
      </c>
      <c r="I6" s="3" t="s">
        <v>20</v>
      </c>
      <c r="J6" s="6" t="s">
        <v>20</v>
      </c>
      <c r="K6" s="3">
        <v>3</v>
      </c>
      <c r="L6" s="3">
        <v>8</v>
      </c>
      <c r="M6" s="3" t="s">
        <v>30</v>
      </c>
      <c r="N6" s="3">
        <v>3.8905479160000001</v>
      </c>
      <c r="O6" s="3" t="s">
        <v>32</v>
      </c>
      <c r="P6" s="3" t="s">
        <v>43</v>
      </c>
      <c r="Q6" s="3">
        <v>5</v>
      </c>
      <c r="R6" s="3">
        <v>414</v>
      </c>
      <c r="S6" s="3">
        <v>3</v>
      </c>
      <c r="T6" s="3">
        <v>92.065160599999999</v>
      </c>
      <c r="U6" s="3" t="s">
        <v>39</v>
      </c>
      <c r="V6" s="3">
        <v>3.1455795229999999</v>
      </c>
      <c r="W6" s="3" t="s">
        <v>33</v>
      </c>
      <c r="X6" s="3" t="s">
        <v>41</v>
      </c>
      <c r="Y6" s="7">
        <v>923.44063170000004</v>
      </c>
      <c r="Z6" s="5">
        <f t="shared" si="1"/>
        <v>827.48492318400008</v>
      </c>
      <c r="AA6" s="6">
        <f t="shared" si="0"/>
        <v>19</v>
      </c>
    </row>
    <row r="7" spans="1:27" x14ac:dyDescent="0.25">
      <c r="A7" t="s">
        <v>18</v>
      </c>
      <c r="B7" t="s">
        <v>44</v>
      </c>
      <c r="C7" s="8">
        <v>2828.3487459757498</v>
      </c>
      <c r="D7" s="3">
        <v>1.699976014</v>
      </c>
      <c r="E7" s="3">
        <v>87</v>
      </c>
      <c r="F7" s="3">
        <v>147</v>
      </c>
      <c r="G7" s="3">
        <v>90</v>
      </c>
      <c r="H7" s="3">
        <v>66</v>
      </c>
      <c r="I7" s="3" t="s">
        <v>20</v>
      </c>
      <c r="J7" s="6" t="s">
        <v>20</v>
      </c>
      <c r="K7" s="3">
        <v>27</v>
      </c>
      <c r="L7" s="3">
        <v>3</v>
      </c>
      <c r="M7" s="3" t="s">
        <v>21</v>
      </c>
      <c r="N7" s="3">
        <v>4.4440988639999999</v>
      </c>
      <c r="O7" s="3" t="s">
        <v>45</v>
      </c>
      <c r="P7" s="3" t="s">
        <v>46</v>
      </c>
      <c r="Q7" s="3">
        <v>10</v>
      </c>
      <c r="R7" s="3">
        <v>104</v>
      </c>
      <c r="S7" s="3">
        <v>17</v>
      </c>
      <c r="T7" s="3">
        <v>56.766475560000003</v>
      </c>
      <c r="U7" s="3" t="s">
        <v>39</v>
      </c>
      <c r="V7" s="3">
        <v>2.779193512</v>
      </c>
      <c r="W7" s="3" t="s">
        <v>25</v>
      </c>
      <c r="X7" s="3" t="s">
        <v>41</v>
      </c>
      <c r="Y7" s="7">
        <v>235.4612367</v>
      </c>
      <c r="Z7" s="5">
        <f t="shared" si="1"/>
        <v>174.25066227600001</v>
      </c>
      <c r="AA7" s="6">
        <f t="shared" si="0"/>
        <v>57</v>
      </c>
    </row>
    <row r="8" spans="1:27" x14ac:dyDescent="0.25">
      <c r="A8" t="s">
        <v>27</v>
      </c>
      <c r="B8" t="s">
        <v>47</v>
      </c>
      <c r="C8" s="8">
        <v>7823.4765595317303</v>
      </c>
      <c r="D8" s="3">
        <v>4.078332863</v>
      </c>
      <c r="E8" s="3">
        <v>48</v>
      </c>
      <c r="F8" s="3">
        <v>65</v>
      </c>
      <c r="G8" s="3">
        <v>11</v>
      </c>
      <c r="H8" s="3">
        <v>58</v>
      </c>
      <c r="I8" s="3" t="s">
        <v>48</v>
      </c>
      <c r="J8" s="6" t="s">
        <v>48</v>
      </c>
      <c r="K8" s="3">
        <v>15</v>
      </c>
      <c r="L8" s="3">
        <v>8</v>
      </c>
      <c r="M8" s="3" t="s">
        <v>36</v>
      </c>
      <c r="N8" s="3">
        <v>3.8807633030000002</v>
      </c>
      <c r="O8" s="3" t="s">
        <v>22</v>
      </c>
      <c r="P8" s="3" t="s">
        <v>38</v>
      </c>
      <c r="Q8" s="3">
        <v>14</v>
      </c>
      <c r="R8" s="3">
        <v>314</v>
      </c>
      <c r="S8" s="3">
        <v>24</v>
      </c>
      <c r="T8" s="3">
        <v>1.08506857</v>
      </c>
      <c r="U8" s="3" t="s">
        <v>24</v>
      </c>
      <c r="V8" s="3">
        <v>1.0009106189999999</v>
      </c>
      <c r="W8" s="3" t="s">
        <v>49</v>
      </c>
      <c r="X8" s="3" t="s">
        <v>41</v>
      </c>
      <c r="Y8" s="7">
        <v>134.36909689999999</v>
      </c>
      <c r="Z8" s="5">
        <f t="shared" si="1"/>
        <v>129.40326502699997</v>
      </c>
      <c r="AA8" s="6">
        <f t="shared" si="0"/>
        <v>61</v>
      </c>
    </row>
    <row r="9" spans="1:27" x14ac:dyDescent="0.25">
      <c r="A9" t="s">
        <v>50</v>
      </c>
      <c r="B9" t="s">
        <v>51</v>
      </c>
      <c r="C9" s="8">
        <v>8496.1038130898305</v>
      </c>
      <c r="D9" s="3">
        <v>42.958384379999998</v>
      </c>
      <c r="E9" s="3">
        <v>59</v>
      </c>
      <c r="F9" s="3">
        <v>426</v>
      </c>
      <c r="G9" s="3">
        <v>93</v>
      </c>
      <c r="H9" s="3">
        <v>11</v>
      </c>
      <c r="I9" s="3" t="s">
        <v>29</v>
      </c>
      <c r="J9" s="6" t="s">
        <v>29</v>
      </c>
      <c r="K9" s="3">
        <v>17</v>
      </c>
      <c r="L9" s="3">
        <v>1</v>
      </c>
      <c r="M9" s="3" t="s">
        <v>21</v>
      </c>
      <c r="N9" s="3">
        <v>2.3483387840000001</v>
      </c>
      <c r="O9" s="3" t="s">
        <v>45</v>
      </c>
      <c r="P9" s="3" t="s">
        <v>46</v>
      </c>
      <c r="Q9" s="3">
        <v>22</v>
      </c>
      <c r="R9" s="3">
        <v>564</v>
      </c>
      <c r="S9" s="3">
        <v>1</v>
      </c>
      <c r="T9" s="3">
        <v>99.466108599999998</v>
      </c>
      <c r="U9" s="3" t="s">
        <v>39</v>
      </c>
      <c r="V9" s="3">
        <v>0.39817718699999999</v>
      </c>
      <c r="W9" s="3" t="s">
        <v>25</v>
      </c>
      <c r="X9" s="3" t="s">
        <v>34</v>
      </c>
      <c r="Y9" s="7">
        <v>802.0563118</v>
      </c>
      <c r="Z9" s="5">
        <f t="shared" si="1"/>
        <v>700.241864416</v>
      </c>
      <c r="AA9" s="6">
        <f t="shared" si="0"/>
        <v>41</v>
      </c>
    </row>
    <row r="10" spans="1:27" x14ac:dyDescent="0.25">
      <c r="A10" t="s">
        <v>50</v>
      </c>
      <c r="B10" t="s">
        <v>52</v>
      </c>
      <c r="C10" s="8">
        <v>7517.3632106311197</v>
      </c>
      <c r="D10" s="3">
        <v>68.717596749999998</v>
      </c>
      <c r="E10" s="3">
        <v>78</v>
      </c>
      <c r="F10" s="3">
        <v>150</v>
      </c>
      <c r="G10" s="3">
        <v>5</v>
      </c>
      <c r="H10" s="3">
        <v>15</v>
      </c>
      <c r="I10" s="3" t="s">
        <v>29</v>
      </c>
      <c r="J10" s="6" t="s">
        <v>29</v>
      </c>
      <c r="K10" s="3">
        <v>10</v>
      </c>
      <c r="L10" s="3">
        <v>7</v>
      </c>
      <c r="M10" s="3" t="s">
        <v>36</v>
      </c>
      <c r="N10" s="3">
        <v>3.4047338570000001</v>
      </c>
      <c r="O10" s="3" t="s">
        <v>45</v>
      </c>
      <c r="P10" s="3" t="s">
        <v>23</v>
      </c>
      <c r="Q10" s="3">
        <v>13</v>
      </c>
      <c r="R10" s="3">
        <v>769</v>
      </c>
      <c r="S10" s="3">
        <v>8</v>
      </c>
      <c r="T10" s="3">
        <v>11.42302714</v>
      </c>
      <c r="U10" s="3" t="s">
        <v>24</v>
      </c>
      <c r="V10" s="3">
        <v>2.7098626910000001</v>
      </c>
      <c r="W10" s="3" t="s">
        <v>49</v>
      </c>
      <c r="X10" s="3" t="s">
        <v>26</v>
      </c>
      <c r="Y10" s="7">
        <v>505.55713420000001</v>
      </c>
      <c r="Z10" s="5">
        <f t="shared" si="1"/>
        <v>490.72937320300002</v>
      </c>
      <c r="AA10" s="6">
        <f t="shared" si="0"/>
        <v>38</v>
      </c>
    </row>
    <row r="11" spans="1:27" x14ac:dyDescent="0.25">
      <c r="A11" t="s">
        <v>27</v>
      </c>
      <c r="B11" t="s">
        <v>53</v>
      </c>
      <c r="C11" s="8">
        <v>4971.1459875855498</v>
      </c>
      <c r="D11" s="3">
        <v>64.015732940000007</v>
      </c>
      <c r="E11" s="3">
        <v>35</v>
      </c>
      <c r="F11" s="3">
        <v>980</v>
      </c>
      <c r="G11" s="3">
        <v>14</v>
      </c>
      <c r="H11" s="3">
        <v>83</v>
      </c>
      <c r="I11" s="3" t="s">
        <v>154</v>
      </c>
      <c r="J11" s="6" t="s">
        <v>29</v>
      </c>
      <c r="K11" s="3">
        <v>27</v>
      </c>
      <c r="L11" s="3">
        <v>1</v>
      </c>
      <c r="M11" s="3" t="s">
        <v>30</v>
      </c>
      <c r="N11" s="3">
        <v>7.166645291</v>
      </c>
      <c r="O11" s="3" t="s">
        <v>54</v>
      </c>
      <c r="P11" s="3" t="s">
        <v>55</v>
      </c>
      <c r="Q11" s="3">
        <v>29</v>
      </c>
      <c r="R11" s="3">
        <v>963</v>
      </c>
      <c r="S11" s="3">
        <v>23</v>
      </c>
      <c r="T11" s="3">
        <v>47.957601629999999</v>
      </c>
      <c r="U11" s="3" t="s">
        <v>24</v>
      </c>
      <c r="V11" s="3">
        <v>3.8446144790000001</v>
      </c>
      <c r="W11" s="3" t="s">
        <v>40</v>
      </c>
      <c r="X11" s="3" t="s">
        <v>26</v>
      </c>
      <c r="Y11" s="7">
        <v>995.9294615</v>
      </c>
      <c r="Z11" s="5">
        <f t="shared" si="1"/>
        <v>940.80521457899999</v>
      </c>
      <c r="AA11" s="6">
        <f t="shared" si="0"/>
        <v>80</v>
      </c>
    </row>
    <row r="12" spans="1:27" x14ac:dyDescent="0.25">
      <c r="A12" t="s">
        <v>27</v>
      </c>
      <c r="B12" t="s">
        <v>56</v>
      </c>
      <c r="C12" s="8">
        <v>2330.9658020919401</v>
      </c>
      <c r="D12" s="3">
        <v>15.70779568</v>
      </c>
      <c r="E12" s="3">
        <v>11</v>
      </c>
      <c r="F12" s="3">
        <v>996</v>
      </c>
      <c r="G12" s="3">
        <v>51</v>
      </c>
      <c r="H12" s="3">
        <v>80</v>
      </c>
      <c r="I12" s="3" t="s">
        <v>20</v>
      </c>
      <c r="J12" s="6" t="s">
        <v>20</v>
      </c>
      <c r="K12" s="3">
        <v>13</v>
      </c>
      <c r="L12" s="3">
        <v>2</v>
      </c>
      <c r="M12" s="3" t="s">
        <v>36</v>
      </c>
      <c r="N12" s="3">
        <v>8.6732112109999999</v>
      </c>
      <c r="O12" s="3" t="s">
        <v>37</v>
      </c>
      <c r="P12" s="3" t="s">
        <v>38</v>
      </c>
      <c r="Q12" s="3">
        <v>18</v>
      </c>
      <c r="R12" s="3">
        <v>830</v>
      </c>
      <c r="S12" s="3">
        <v>5</v>
      </c>
      <c r="T12" s="3">
        <v>96.527352789999995</v>
      </c>
      <c r="U12" s="3" t="s">
        <v>57</v>
      </c>
      <c r="V12" s="3">
        <v>1.7273139280000001</v>
      </c>
      <c r="W12" s="3" t="s">
        <v>25</v>
      </c>
      <c r="X12" s="3" t="s">
        <v>26</v>
      </c>
      <c r="Y12" s="7">
        <v>806.10317769999995</v>
      </c>
      <c r="Z12" s="5">
        <f t="shared" si="1"/>
        <v>700.90261369899997</v>
      </c>
      <c r="AA12" s="6">
        <f t="shared" si="0"/>
        <v>38</v>
      </c>
    </row>
    <row r="13" spans="1:27" x14ac:dyDescent="0.25">
      <c r="A13" t="s">
        <v>27</v>
      </c>
      <c r="B13" t="s">
        <v>58</v>
      </c>
      <c r="C13" s="8">
        <v>6099.9441155814502</v>
      </c>
      <c r="D13" s="3">
        <v>90.635459979999993</v>
      </c>
      <c r="E13" s="3">
        <v>95</v>
      </c>
      <c r="F13" s="3">
        <v>960</v>
      </c>
      <c r="G13" s="3">
        <v>46</v>
      </c>
      <c r="H13" s="3">
        <v>60</v>
      </c>
      <c r="I13" s="3" t="s">
        <v>29</v>
      </c>
      <c r="J13" s="6" t="s">
        <v>29</v>
      </c>
      <c r="K13" s="3">
        <v>23</v>
      </c>
      <c r="L13" s="3">
        <v>1</v>
      </c>
      <c r="M13" s="3" t="s">
        <v>30</v>
      </c>
      <c r="N13" s="3">
        <v>4.5239431239999996</v>
      </c>
      <c r="O13" s="3" t="s">
        <v>54</v>
      </c>
      <c r="P13" s="3" t="s">
        <v>38</v>
      </c>
      <c r="Q13" s="3">
        <v>28</v>
      </c>
      <c r="R13" s="3">
        <v>362</v>
      </c>
      <c r="S13" s="3">
        <v>11</v>
      </c>
      <c r="T13" s="3">
        <v>27.592363089999999</v>
      </c>
      <c r="U13" s="3" t="s">
        <v>24</v>
      </c>
      <c r="V13" s="3">
        <v>2.1169820999999998E-2</v>
      </c>
      <c r="W13" s="3" t="s">
        <v>33</v>
      </c>
      <c r="X13" s="3" t="s">
        <v>41</v>
      </c>
      <c r="Y13" s="7">
        <v>126.72303340000001</v>
      </c>
      <c r="Z13" s="5">
        <f t="shared" si="1"/>
        <v>94.606727186000001</v>
      </c>
      <c r="AA13" s="6">
        <f t="shared" si="0"/>
        <v>63</v>
      </c>
    </row>
    <row r="14" spans="1:27" x14ac:dyDescent="0.25">
      <c r="A14" t="s">
        <v>18</v>
      </c>
      <c r="B14" t="s">
        <v>59</v>
      </c>
      <c r="C14" s="8">
        <v>2873.74144602144</v>
      </c>
      <c r="D14" s="3">
        <v>71.213389079999999</v>
      </c>
      <c r="E14" s="3">
        <v>41</v>
      </c>
      <c r="F14" s="3">
        <v>336</v>
      </c>
      <c r="G14" s="3">
        <v>100</v>
      </c>
      <c r="H14" s="3">
        <v>85</v>
      </c>
      <c r="I14" s="3" t="s">
        <v>154</v>
      </c>
      <c r="J14" s="6" t="s">
        <v>48</v>
      </c>
      <c r="K14" s="3">
        <v>30</v>
      </c>
      <c r="L14" s="3">
        <v>4</v>
      </c>
      <c r="M14" s="3" t="s">
        <v>30</v>
      </c>
      <c r="N14" s="3">
        <v>1.32527401</v>
      </c>
      <c r="O14" s="3" t="s">
        <v>45</v>
      </c>
      <c r="P14" s="3" t="s">
        <v>38</v>
      </c>
      <c r="Q14" s="3">
        <v>3</v>
      </c>
      <c r="R14" s="3">
        <v>563</v>
      </c>
      <c r="S14" s="3">
        <v>3</v>
      </c>
      <c r="T14" s="3">
        <v>32.321286209999997</v>
      </c>
      <c r="U14" s="3" t="s">
        <v>39</v>
      </c>
      <c r="V14" s="3">
        <v>2.161253748</v>
      </c>
      <c r="W14" s="3" t="s">
        <v>25</v>
      </c>
      <c r="X14" s="3" t="s">
        <v>26</v>
      </c>
      <c r="Y14" s="7">
        <v>402.96878909999998</v>
      </c>
      <c r="Z14" s="5">
        <f t="shared" si="1"/>
        <v>369.32222888000001</v>
      </c>
      <c r="AA14" s="6">
        <f t="shared" si="0"/>
        <v>40</v>
      </c>
    </row>
    <row r="15" spans="1:27" x14ac:dyDescent="0.25">
      <c r="A15" t="s">
        <v>27</v>
      </c>
      <c r="B15" t="s">
        <v>60</v>
      </c>
      <c r="C15" s="8">
        <v>4052.7384162378598</v>
      </c>
      <c r="D15" s="3">
        <v>16.160393320000001</v>
      </c>
      <c r="E15" s="3">
        <v>5</v>
      </c>
      <c r="F15" s="3">
        <v>249</v>
      </c>
      <c r="G15" s="3">
        <v>80</v>
      </c>
      <c r="H15" s="3">
        <v>48</v>
      </c>
      <c r="I15" s="3" t="s">
        <v>48</v>
      </c>
      <c r="J15" s="6" t="s">
        <v>48</v>
      </c>
      <c r="K15" s="3">
        <v>8</v>
      </c>
      <c r="L15" s="3">
        <v>9</v>
      </c>
      <c r="M15" s="3" t="s">
        <v>30</v>
      </c>
      <c r="N15" s="3">
        <v>9.5372830610000001</v>
      </c>
      <c r="O15" s="3" t="s">
        <v>37</v>
      </c>
      <c r="P15" s="3" t="s">
        <v>46</v>
      </c>
      <c r="Q15" s="3">
        <v>23</v>
      </c>
      <c r="R15" s="3">
        <v>173</v>
      </c>
      <c r="S15" s="3">
        <v>10</v>
      </c>
      <c r="T15" s="3">
        <v>97.829050109999997</v>
      </c>
      <c r="U15" s="3" t="s">
        <v>24</v>
      </c>
      <c r="V15" s="3">
        <v>1.6310742300000001</v>
      </c>
      <c r="W15" s="3" t="s">
        <v>25</v>
      </c>
      <c r="X15" s="3" t="s">
        <v>26</v>
      </c>
      <c r="Y15" s="7">
        <v>547.24100520000002</v>
      </c>
      <c r="Z15" s="5">
        <f t="shared" si="1"/>
        <v>439.87467202900001</v>
      </c>
      <c r="AA15" s="6">
        <f t="shared" si="0"/>
        <v>50</v>
      </c>
    </row>
    <row r="16" spans="1:27" x14ac:dyDescent="0.25">
      <c r="A16" t="s">
        <v>27</v>
      </c>
      <c r="B16" t="s">
        <v>61</v>
      </c>
      <c r="C16" s="8">
        <v>8653.5709264697998</v>
      </c>
      <c r="D16" s="3">
        <v>99.171328639999999</v>
      </c>
      <c r="E16" s="3">
        <v>26</v>
      </c>
      <c r="F16" s="3">
        <v>562</v>
      </c>
      <c r="G16" s="3">
        <v>54</v>
      </c>
      <c r="H16" s="3">
        <v>78</v>
      </c>
      <c r="I16" s="3" t="s">
        <v>20</v>
      </c>
      <c r="J16" s="6" t="s">
        <v>20</v>
      </c>
      <c r="K16" s="3">
        <v>29</v>
      </c>
      <c r="L16" s="3">
        <v>5</v>
      </c>
      <c r="M16" s="3" t="s">
        <v>21</v>
      </c>
      <c r="N16" s="3">
        <v>2.039770189</v>
      </c>
      <c r="O16" s="3" t="s">
        <v>32</v>
      </c>
      <c r="P16" s="3" t="s">
        <v>38</v>
      </c>
      <c r="Q16" s="3">
        <v>25</v>
      </c>
      <c r="R16" s="3">
        <v>558</v>
      </c>
      <c r="S16" s="3">
        <v>14</v>
      </c>
      <c r="T16" s="3">
        <v>5.7914366299999998</v>
      </c>
      <c r="U16" s="3" t="s">
        <v>24</v>
      </c>
      <c r="V16" s="3">
        <v>0.100682852</v>
      </c>
      <c r="W16" s="3" t="s">
        <v>33</v>
      </c>
      <c r="X16" s="3" t="s">
        <v>26</v>
      </c>
      <c r="Y16" s="7">
        <v>929.23528999999996</v>
      </c>
      <c r="Z16" s="5">
        <f t="shared" si="1"/>
        <v>921.40408318099992</v>
      </c>
      <c r="AA16" s="6">
        <f t="shared" si="0"/>
        <v>73</v>
      </c>
    </row>
    <row r="17" spans="1:27" x14ac:dyDescent="0.25">
      <c r="A17" t="s">
        <v>27</v>
      </c>
      <c r="B17" t="s">
        <v>62</v>
      </c>
      <c r="C17" s="8">
        <v>5442.0867853976697</v>
      </c>
      <c r="D17" s="3">
        <v>36.989244929999998</v>
      </c>
      <c r="E17" s="3">
        <v>94</v>
      </c>
      <c r="F17" s="3">
        <v>469</v>
      </c>
      <c r="G17" s="3">
        <v>9</v>
      </c>
      <c r="H17" s="3">
        <v>69</v>
      </c>
      <c r="I17" s="3" t="s">
        <v>20</v>
      </c>
      <c r="J17" s="6" t="s">
        <v>20</v>
      </c>
      <c r="K17" s="3">
        <v>8</v>
      </c>
      <c r="L17" s="3">
        <v>7</v>
      </c>
      <c r="M17" s="3" t="s">
        <v>21</v>
      </c>
      <c r="N17" s="3">
        <v>2.4220397230000001</v>
      </c>
      <c r="O17" s="3" t="s">
        <v>32</v>
      </c>
      <c r="P17" s="3" t="s">
        <v>46</v>
      </c>
      <c r="Q17" s="3">
        <v>14</v>
      </c>
      <c r="R17" s="3">
        <v>580</v>
      </c>
      <c r="S17" s="3">
        <v>7</v>
      </c>
      <c r="T17" s="3">
        <v>97.121281749999994</v>
      </c>
      <c r="U17" s="3" t="s">
        <v>57</v>
      </c>
      <c r="V17" s="3">
        <v>2.2644057609999999</v>
      </c>
      <c r="W17" s="3" t="s">
        <v>49</v>
      </c>
      <c r="X17" s="3" t="s">
        <v>26</v>
      </c>
      <c r="Y17" s="7">
        <v>127.8618</v>
      </c>
      <c r="Z17" s="5">
        <f t="shared" si="1"/>
        <v>28.318478527000011</v>
      </c>
      <c r="AA17" s="6">
        <f t="shared" si="0"/>
        <v>36</v>
      </c>
    </row>
    <row r="18" spans="1:27" x14ac:dyDescent="0.25">
      <c r="A18" t="s">
        <v>27</v>
      </c>
      <c r="B18" t="s">
        <v>63</v>
      </c>
      <c r="C18" s="8">
        <v>6453.7979681762799</v>
      </c>
      <c r="D18" s="3">
        <v>7.54717211</v>
      </c>
      <c r="E18" s="3">
        <v>74</v>
      </c>
      <c r="F18" s="3">
        <v>280</v>
      </c>
      <c r="G18" s="3">
        <v>2</v>
      </c>
      <c r="H18" s="3">
        <v>78</v>
      </c>
      <c r="I18" s="3" t="s">
        <v>29</v>
      </c>
      <c r="J18" s="6" t="s">
        <v>29</v>
      </c>
      <c r="K18" s="3">
        <v>5</v>
      </c>
      <c r="L18" s="3">
        <v>1</v>
      </c>
      <c r="M18" s="3" t="s">
        <v>21</v>
      </c>
      <c r="N18" s="3">
        <v>4.1913245860000004</v>
      </c>
      <c r="O18" s="3" t="s">
        <v>32</v>
      </c>
      <c r="P18" s="3" t="s">
        <v>46</v>
      </c>
      <c r="Q18" s="3">
        <v>3</v>
      </c>
      <c r="R18" s="3">
        <v>399</v>
      </c>
      <c r="S18" s="3">
        <v>21</v>
      </c>
      <c r="T18" s="3">
        <v>77.106342499999997</v>
      </c>
      <c r="U18" s="3" t="s">
        <v>57</v>
      </c>
      <c r="V18" s="3">
        <v>1.0125630889999999</v>
      </c>
      <c r="W18" s="3" t="s">
        <v>33</v>
      </c>
      <c r="X18" s="3" t="s">
        <v>41</v>
      </c>
      <c r="Y18" s="7">
        <v>865.52577980000001</v>
      </c>
      <c r="Z18" s="5">
        <f t="shared" si="1"/>
        <v>784.22811271399996</v>
      </c>
      <c r="AA18" s="6">
        <f t="shared" si="0"/>
        <v>30</v>
      </c>
    </row>
    <row r="19" spans="1:27" x14ac:dyDescent="0.25">
      <c r="A19" t="s">
        <v>50</v>
      </c>
      <c r="B19" t="s">
        <v>64</v>
      </c>
      <c r="C19" s="8">
        <v>2629.39643484526</v>
      </c>
      <c r="D19" s="3">
        <v>81.46253437</v>
      </c>
      <c r="E19" s="3">
        <v>82</v>
      </c>
      <c r="F19" s="3">
        <v>126</v>
      </c>
      <c r="G19" s="3">
        <v>45</v>
      </c>
      <c r="H19" s="3">
        <v>85</v>
      </c>
      <c r="I19" s="3" t="s">
        <v>29</v>
      </c>
      <c r="J19" s="6" t="s">
        <v>29</v>
      </c>
      <c r="K19" s="3">
        <v>17</v>
      </c>
      <c r="L19" s="3">
        <v>9</v>
      </c>
      <c r="M19" s="3" t="s">
        <v>36</v>
      </c>
      <c r="N19" s="3">
        <v>3.585418958</v>
      </c>
      <c r="O19" s="3" t="s">
        <v>32</v>
      </c>
      <c r="P19" s="3" t="s">
        <v>55</v>
      </c>
      <c r="Q19" s="3">
        <v>7</v>
      </c>
      <c r="R19" s="3">
        <v>453</v>
      </c>
      <c r="S19" s="3">
        <v>16</v>
      </c>
      <c r="T19" s="3">
        <v>47.67968037</v>
      </c>
      <c r="U19" s="3" t="s">
        <v>39</v>
      </c>
      <c r="V19" s="3">
        <v>0.102020755</v>
      </c>
      <c r="W19" s="3" t="s">
        <v>33</v>
      </c>
      <c r="X19" s="3" t="s">
        <v>34</v>
      </c>
      <c r="Y19" s="7">
        <v>670.93439079999996</v>
      </c>
      <c r="Z19" s="5">
        <f t="shared" si="1"/>
        <v>619.66929147199994</v>
      </c>
      <c r="AA19" s="6">
        <f t="shared" si="0"/>
        <v>49</v>
      </c>
    </row>
    <row r="20" spans="1:27" x14ac:dyDescent="0.25">
      <c r="A20" t="s">
        <v>18</v>
      </c>
      <c r="B20" t="s">
        <v>65</v>
      </c>
      <c r="C20" s="8">
        <v>9364.6735050761708</v>
      </c>
      <c r="D20" s="3">
        <v>36.443627769999999</v>
      </c>
      <c r="E20" s="3">
        <v>23</v>
      </c>
      <c r="F20" s="3">
        <v>620</v>
      </c>
      <c r="G20" s="3">
        <v>10</v>
      </c>
      <c r="H20" s="3">
        <v>46</v>
      </c>
      <c r="I20" s="3" t="s">
        <v>154</v>
      </c>
      <c r="J20" s="6" t="s">
        <v>48</v>
      </c>
      <c r="K20" s="3">
        <v>10</v>
      </c>
      <c r="L20" s="3">
        <v>8</v>
      </c>
      <c r="M20" s="3" t="s">
        <v>36</v>
      </c>
      <c r="N20" s="3">
        <v>4.3392247140000002</v>
      </c>
      <c r="O20" s="3" t="s">
        <v>54</v>
      </c>
      <c r="P20" s="3" t="s">
        <v>38</v>
      </c>
      <c r="Q20" s="3">
        <v>18</v>
      </c>
      <c r="R20" s="3">
        <v>374</v>
      </c>
      <c r="S20" s="3">
        <v>17</v>
      </c>
      <c r="T20" s="3">
        <v>27.107980850000001</v>
      </c>
      <c r="U20" s="3" t="s">
        <v>24</v>
      </c>
      <c r="V20" s="3">
        <v>2.231939111</v>
      </c>
      <c r="W20" s="3" t="s">
        <v>49</v>
      </c>
      <c r="X20" s="3" t="s">
        <v>41</v>
      </c>
      <c r="Y20" s="7">
        <v>593.48025870000004</v>
      </c>
      <c r="Z20" s="5">
        <f t="shared" si="1"/>
        <v>562.03305313600004</v>
      </c>
      <c r="AA20" s="6">
        <f t="shared" si="0"/>
        <v>53</v>
      </c>
    </row>
    <row r="21" spans="1:27" x14ac:dyDescent="0.25">
      <c r="A21" t="s">
        <v>27</v>
      </c>
      <c r="B21" t="s">
        <v>66</v>
      </c>
      <c r="C21" s="8">
        <v>2553.4955849912099</v>
      </c>
      <c r="D21" s="3">
        <v>51.123870089999997</v>
      </c>
      <c r="E21" s="3">
        <v>100</v>
      </c>
      <c r="F21" s="3">
        <v>187</v>
      </c>
      <c r="G21" s="3">
        <v>48</v>
      </c>
      <c r="H21" s="3">
        <v>94</v>
      </c>
      <c r="I21" s="3" t="s">
        <v>154</v>
      </c>
      <c r="J21" s="6" t="s">
        <v>29</v>
      </c>
      <c r="K21" s="3">
        <v>11</v>
      </c>
      <c r="L21" s="3">
        <v>3</v>
      </c>
      <c r="M21" s="3" t="s">
        <v>30</v>
      </c>
      <c r="N21" s="3">
        <v>4.7426358830000002</v>
      </c>
      <c r="O21" s="3" t="s">
        <v>45</v>
      </c>
      <c r="P21" s="3" t="s">
        <v>55</v>
      </c>
      <c r="Q21" s="3">
        <v>20</v>
      </c>
      <c r="R21" s="3">
        <v>694</v>
      </c>
      <c r="S21" s="3">
        <v>16</v>
      </c>
      <c r="T21" s="3">
        <v>82.373320590000006</v>
      </c>
      <c r="U21" s="3" t="s">
        <v>39</v>
      </c>
      <c r="V21" s="3">
        <v>3.6464508649999998</v>
      </c>
      <c r="W21" s="3" t="s">
        <v>25</v>
      </c>
      <c r="X21" s="3" t="s">
        <v>34</v>
      </c>
      <c r="Y21" s="7">
        <v>477.30763109999998</v>
      </c>
      <c r="Z21" s="5">
        <f t="shared" si="1"/>
        <v>390.191674627</v>
      </c>
      <c r="AA21" s="6">
        <f t="shared" si="0"/>
        <v>50</v>
      </c>
    </row>
    <row r="22" spans="1:27" x14ac:dyDescent="0.25">
      <c r="A22" t="s">
        <v>27</v>
      </c>
      <c r="B22" t="s">
        <v>67</v>
      </c>
      <c r="C22" s="8">
        <v>8128.0276968511898</v>
      </c>
      <c r="D22" s="3">
        <v>96.341072440000005</v>
      </c>
      <c r="E22" s="3">
        <v>22</v>
      </c>
      <c r="F22" s="3">
        <v>320</v>
      </c>
      <c r="G22" s="3">
        <v>27</v>
      </c>
      <c r="H22" s="3">
        <v>68</v>
      </c>
      <c r="I22" s="3" t="s">
        <v>154</v>
      </c>
      <c r="J22" s="6" t="s">
        <v>29</v>
      </c>
      <c r="K22" s="3">
        <v>12</v>
      </c>
      <c r="L22" s="3">
        <v>6</v>
      </c>
      <c r="M22" s="3" t="s">
        <v>30</v>
      </c>
      <c r="N22" s="3">
        <v>8.8783346509999994</v>
      </c>
      <c r="O22" s="3" t="s">
        <v>32</v>
      </c>
      <c r="P22" s="3" t="s">
        <v>55</v>
      </c>
      <c r="Q22" s="3">
        <v>29</v>
      </c>
      <c r="R22" s="3">
        <v>309</v>
      </c>
      <c r="S22" s="3">
        <v>6</v>
      </c>
      <c r="T22" s="3">
        <v>65.686259609999993</v>
      </c>
      <c r="U22" s="3" t="s">
        <v>57</v>
      </c>
      <c r="V22" s="3">
        <v>4.2314165739999998</v>
      </c>
      <c r="W22" s="3" t="s">
        <v>33</v>
      </c>
      <c r="X22" s="3" t="s">
        <v>26</v>
      </c>
      <c r="Y22" s="7">
        <v>493.87121530000002</v>
      </c>
      <c r="Z22" s="5">
        <f t="shared" si="1"/>
        <v>419.30662103899999</v>
      </c>
      <c r="AA22" s="6">
        <f t="shared" si="0"/>
        <v>53</v>
      </c>
    </row>
    <row r="23" spans="1:27" x14ac:dyDescent="0.25">
      <c r="A23" t="s">
        <v>50</v>
      </c>
      <c r="B23" t="s">
        <v>68</v>
      </c>
      <c r="C23" s="8">
        <v>7087.0526963574302</v>
      </c>
      <c r="D23" s="3">
        <v>84.893868979999993</v>
      </c>
      <c r="E23" s="3">
        <v>60</v>
      </c>
      <c r="F23" s="3">
        <v>601</v>
      </c>
      <c r="G23" s="3">
        <v>69</v>
      </c>
      <c r="H23" s="3">
        <v>7</v>
      </c>
      <c r="I23" s="3" t="s">
        <v>154</v>
      </c>
      <c r="J23" s="6" t="s">
        <v>29</v>
      </c>
      <c r="K23" s="3">
        <v>25</v>
      </c>
      <c r="L23" s="3">
        <v>6</v>
      </c>
      <c r="M23" s="3" t="s">
        <v>21</v>
      </c>
      <c r="N23" s="3">
        <v>6.0378837689999996</v>
      </c>
      <c r="O23" s="3" t="s">
        <v>37</v>
      </c>
      <c r="P23" s="3" t="s">
        <v>55</v>
      </c>
      <c r="Q23" s="3">
        <v>19</v>
      </c>
      <c r="R23" s="3">
        <v>791</v>
      </c>
      <c r="S23" s="3">
        <v>4</v>
      </c>
      <c r="T23" s="3">
        <v>61.735728950000002</v>
      </c>
      <c r="U23" s="3" t="s">
        <v>24</v>
      </c>
      <c r="V23" s="3">
        <v>1.8607568000000001E-2</v>
      </c>
      <c r="W23" s="3" t="s">
        <v>33</v>
      </c>
      <c r="X23" s="3" t="s">
        <v>34</v>
      </c>
      <c r="Y23" s="7">
        <v>523.36091469999997</v>
      </c>
      <c r="Z23" s="5">
        <f t="shared" si="1"/>
        <v>455.587301981</v>
      </c>
      <c r="AA23" s="6">
        <f t="shared" si="0"/>
        <v>54</v>
      </c>
    </row>
    <row r="24" spans="1:27" x14ac:dyDescent="0.25">
      <c r="A24" t="s">
        <v>18</v>
      </c>
      <c r="B24" t="s">
        <v>69</v>
      </c>
      <c r="C24" s="8">
        <v>2390.8078665561702</v>
      </c>
      <c r="D24" s="3">
        <v>27.67978089</v>
      </c>
      <c r="E24" s="3">
        <v>55</v>
      </c>
      <c r="F24" s="3">
        <v>884</v>
      </c>
      <c r="G24" s="3">
        <v>71</v>
      </c>
      <c r="H24" s="3">
        <v>63</v>
      </c>
      <c r="I24" s="3" t="s">
        <v>154</v>
      </c>
      <c r="J24" s="6" t="s">
        <v>48</v>
      </c>
      <c r="K24" s="3">
        <v>1</v>
      </c>
      <c r="L24" s="3">
        <v>10</v>
      </c>
      <c r="M24" s="3" t="s">
        <v>30</v>
      </c>
      <c r="N24" s="3">
        <v>9.567648921</v>
      </c>
      <c r="O24" s="3" t="s">
        <v>45</v>
      </c>
      <c r="P24" s="3" t="s">
        <v>38</v>
      </c>
      <c r="Q24" s="3">
        <v>22</v>
      </c>
      <c r="R24" s="3">
        <v>780</v>
      </c>
      <c r="S24" s="3">
        <v>28</v>
      </c>
      <c r="T24" s="3">
        <v>50.120839609999997</v>
      </c>
      <c r="U24" s="3" t="s">
        <v>39</v>
      </c>
      <c r="V24" s="3">
        <v>2.5912754730000001</v>
      </c>
      <c r="W24" s="3" t="s">
        <v>40</v>
      </c>
      <c r="X24" s="3" t="s">
        <v>34</v>
      </c>
      <c r="Y24" s="7">
        <v>205.5719958</v>
      </c>
      <c r="Z24" s="5">
        <f t="shared" si="1"/>
        <v>145.88350726900001</v>
      </c>
      <c r="AA24" s="6">
        <f t="shared" si="0"/>
        <v>61</v>
      </c>
    </row>
    <row r="25" spans="1:27" x14ac:dyDescent="0.25">
      <c r="A25" t="s">
        <v>50</v>
      </c>
      <c r="B25" t="s">
        <v>70</v>
      </c>
      <c r="C25" s="8">
        <v>8858.3675710114803</v>
      </c>
      <c r="D25" s="3">
        <v>4.3243411859999998</v>
      </c>
      <c r="E25" s="3">
        <v>30</v>
      </c>
      <c r="F25" s="3">
        <v>391</v>
      </c>
      <c r="G25" s="3">
        <v>84</v>
      </c>
      <c r="H25" s="3">
        <v>29</v>
      </c>
      <c r="I25" s="3" t="s">
        <v>154</v>
      </c>
      <c r="J25" s="6" t="s">
        <v>29</v>
      </c>
      <c r="K25" s="3">
        <v>5</v>
      </c>
      <c r="L25" s="3">
        <v>7</v>
      </c>
      <c r="M25" s="3" t="s">
        <v>30</v>
      </c>
      <c r="N25" s="3">
        <v>2.9248576009999998</v>
      </c>
      <c r="O25" s="3" t="s">
        <v>37</v>
      </c>
      <c r="P25" s="3" t="s">
        <v>38</v>
      </c>
      <c r="Q25" s="3">
        <v>11</v>
      </c>
      <c r="R25" s="3">
        <v>568</v>
      </c>
      <c r="S25" s="3">
        <v>29</v>
      </c>
      <c r="T25" s="3">
        <v>98.60995724</v>
      </c>
      <c r="U25" s="3" t="s">
        <v>24</v>
      </c>
      <c r="V25" s="3">
        <v>1.3422915630000001</v>
      </c>
      <c r="W25" s="3" t="s">
        <v>40</v>
      </c>
      <c r="X25" s="3" t="s">
        <v>41</v>
      </c>
      <c r="Y25" s="7">
        <v>196.32944610000001</v>
      </c>
      <c r="Z25" s="5">
        <f t="shared" si="1"/>
        <v>94.794631259000013</v>
      </c>
      <c r="AA25" s="6">
        <f t="shared" si="0"/>
        <v>52</v>
      </c>
    </row>
    <row r="26" spans="1:27" x14ac:dyDescent="0.25">
      <c r="A26" t="s">
        <v>18</v>
      </c>
      <c r="B26" t="s">
        <v>71</v>
      </c>
      <c r="C26" s="8">
        <v>9049.0778609398894</v>
      </c>
      <c r="D26" s="3">
        <v>4.1563083589999996</v>
      </c>
      <c r="E26" s="3">
        <v>32</v>
      </c>
      <c r="F26" s="3">
        <v>209</v>
      </c>
      <c r="G26" s="3">
        <v>4</v>
      </c>
      <c r="H26" s="3">
        <v>2</v>
      </c>
      <c r="I26" s="3" t="s">
        <v>48</v>
      </c>
      <c r="J26" s="6" t="s">
        <v>48</v>
      </c>
      <c r="K26" s="3">
        <v>26</v>
      </c>
      <c r="L26" s="3">
        <v>8</v>
      </c>
      <c r="M26" s="3" t="s">
        <v>36</v>
      </c>
      <c r="N26" s="3">
        <v>9.7412916890000005</v>
      </c>
      <c r="O26" s="3" t="s">
        <v>54</v>
      </c>
      <c r="P26" s="3" t="s">
        <v>46</v>
      </c>
      <c r="Q26" s="3">
        <v>28</v>
      </c>
      <c r="R26" s="3">
        <v>447</v>
      </c>
      <c r="S26" s="3">
        <v>3</v>
      </c>
      <c r="T26" s="3">
        <v>40.382359700000002</v>
      </c>
      <c r="U26" s="3" t="s">
        <v>24</v>
      </c>
      <c r="V26" s="3">
        <v>3.6913102929999999</v>
      </c>
      <c r="W26" s="3" t="s">
        <v>33</v>
      </c>
      <c r="X26" s="3" t="s">
        <v>41</v>
      </c>
      <c r="Y26" s="7">
        <v>758.72477260000005</v>
      </c>
      <c r="Z26" s="5">
        <f t="shared" si="1"/>
        <v>708.60112121100008</v>
      </c>
      <c r="AA26" s="6">
        <f t="shared" si="0"/>
        <v>65</v>
      </c>
    </row>
    <row r="27" spans="1:27" x14ac:dyDescent="0.25">
      <c r="A27" t="s">
        <v>18</v>
      </c>
      <c r="B27" t="s">
        <v>72</v>
      </c>
      <c r="C27" s="8">
        <v>2174.7770543506499</v>
      </c>
      <c r="D27" s="3">
        <v>39.629343990000002</v>
      </c>
      <c r="E27" s="3">
        <v>73</v>
      </c>
      <c r="F27" s="3">
        <v>142</v>
      </c>
      <c r="G27" s="3">
        <v>82</v>
      </c>
      <c r="H27" s="3">
        <v>52</v>
      </c>
      <c r="I27" s="3" t="s">
        <v>48</v>
      </c>
      <c r="J27" s="6" t="s">
        <v>48</v>
      </c>
      <c r="K27" s="3">
        <v>11</v>
      </c>
      <c r="L27" s="3">
        <v>3</v>
      </c>
      <c r="M27" s="3" t="s">
        <v>36</v>
      </c>
      <c r="N27" s="3">
        <v>2.2310736809999998</v>
      </c>
      <c r="O27" s="3" t="s">
        <v>45</v>
      </c>
      <c r="P27" s="3" t="s">
        <v>38</v>
      </c>
      <c r="Q27" s="3">
        <v>19</v>
      </c>
      <c r="R27" s="3">
        <v>934</v>
      </c>
      <c r="S27" s="3">
        <v>23</v>
      </c>
      <c r="T27" s="3">
        <v>78.280383119999996</v>
      </c>
      <c r="U27" s="3" t="s">
        <v>24</v>
      </c>
      <c r="V27" s="3">
        <v>3.7972312170000002</v>
      </c>
      <c r="W27" s="3" t="s">
        <v>25</v>
      </c>
      <c r="X27" s="3" t="s">
        <v>26</v>
      </c>
      <c r="Y27" s="7">
        <v>458.53594570000001</v>
      </c>
      <c r="Z27" s="5">
        <f t="shared" si="1"/>
        <v>378.024488899</v>
      </c>
      <c r="AA27" s="6">
        <f t="shared" si="0"/>
        <v>56</v>
      </c>
    </row>
    <row r="28" spans="1:27" x14ac:dyDescent="0.25">
      <c r="A28" t="s">
        <v>18</v>
      </c>
      <c r="B28" t="s">
        <v>73</v>
      </c>
      <c r="C28" s="8">
        <v>3716.49332589403</v>
      </c>
      <c r="D28" s="3">
        <v>97.446946620000006</v>
      </c>
      <c r="E28" s="3">
        <v>9</v>
      </c>
      <c r="F28" s="3">
        <v>353</v>
      </c>
      <c r="G28" s="3">
        <v>59</v>
      </c>
      <c r="H28" s="3">
        <v>48</v>
      </c>
      <c r="I28" s="3" t="s">
        <v>48</v>
      </c>
      <c r="J28" s="6" t="s">
        <v>48</v>
      </c>
      <c r="K28" s="3">
        <v>16</v>
      </c>
      <c r="L28" s="3">
        <v>4</v>
      </c>
      <c r="M28" s="3" t="s">
        <v>21</v>
      </c>
      <c r="N28" s="3">
        <v>6.5075486209999998</v>
      </c>
      <c r="O28" s="3" t="s">
        <v>54</v>
      </c>
      <c r="P28" s="3" t="s">
        <v>46</v>
      </c>
      <c r="Q28" s="3">
        <v>26</v>
      </c>
      <c r="R28" s="3">
        <v>171</v>
      </c>
      <c r="S28" s="3">
        <v>4</v>
      </c>
      <c r="T28" s="3">
        <v>15.972229759999999</v>
      </c>
      <c r="U28" s="3" t="s">
        <v>57</v>
      </c>
      <c r="V28" s="3">
        <v>2.1193197370000001</v>
      </c>
      <c r="W28" s="3" t="s">
        <v>40</v>
      </c>
      <c r="X28" s="3" t="s">
        <v>41</v>
      </c>
      <c r="Y28" s="7">
        <v>617.8669165</v>
      </c>
      <c r="Z28" s="5">
        <f t="shared" si="1"/>
        <v>595.38713811900004</v>
      </c>
      <c r="AA28" s="6">
        <f t="shared" si="0"/>
        <v>50</v>
      </c>
    </row>
    <row r="29" spans="1:27" x14ac:dyDescent="0.25">
      <c r="A29" t="s">
        <v>50</v>
      </c>
      <c r="B29" t="s">
        <v>74</v>
      </c>
      <c r="C29" s="8">
        <v>2686.4572235759802</v>
      </c>
      <c r="D29" s="3">
        <v>92.557360810000006</v>
      </c>
      <c r="E29" s="3">
        <v>42</v>
      </c>
      <c r="F29" s="3">
        <v>352</v>
      </c>
      <c r="G29" s="3">
        <v>47</v>
      </c>
      <c r="H29" s="3">
        <v>62</v>
      </c>
      <c r="I29" s="3" t="s">
        <v>154</v>
      </c>
      <c r="J29" s="6" t="s">
        <v>29</v>
      </c>
      <c r="K29" s="3">
        <v>9</v>
      </c>
      <c r="L29" s="3">
        <v>8</v>
      </c>
      <c r="M29" s="3" t="s">
        <v>36</v>
      </c>
      <c r="N29" s="3">
        <v>7.4067509530000004</v>
      </c>
      <c r="O29" s="3" t="s">
        <v>37</v>
      </c>
      <c r="P29" s="3" t="s">
        <v>23</v>
      </c>
      <c r="Q29" s="3">
        <v>25</v>
      </c>
      <c r="R29" s="3">
        <v>291</v>
      </c>
      <c r="S29" s="3">
        <v>4</v>
      </c>
      <c r="T29" s="3">
        <v>10.528245070000001</v>
      </c>
      <c r="U29" s="3" t="s">
        <v>39</v>
      </c>
      <c r="V29" s="3">
        <v>2.8646678379999999</v>
      </c>
      <c r="W29" s="3" t="s">
        <v>49</v>
      </c>
      <c r="X29" s="3" t="s">
        <v>26</v>
      </c>
      <c r="Y29" s="7">
        <v>762.45918219999999</v>
      </c>
      <c r="Z29" s="5">
        <f t="shared" si="1"/>
        <v>744.52418617699993</v>
      </c>
      <c r="AA29" s="6">
        <f t="shared" si="0"/>
        <v>46</v>
      </c>
    </row>
    <row r="30" spans="1:27" x14ac:dyDescent="0.25">
      <c r="A30" t="s">
        <v>50</v>
      </c>
      <c r="B30" t="s">
        <v>75</v>
      </c>
      <c r="C30" s="8">
        <v>6117.3246150839896</v>
      </c>
      <c r="D30" s="3">
        <v>2.3972747060000001</v>
      </c>
      <c r="E30" s="3">
        <v>12</v>
      </c>
      <c r="F30" s="3">
        <v>394</v>
      </c>
      <c r="G30" s="3">
        <v>48</v>
      </c>
      <c r="H30" s="3">
        <v>24</v>
      </c>
      <c r="I30" s="3" t="s">
        <v>29</v>
      </c>
      <c r="J30" s="6" t="s">
        <v>29</v>
      </c>
      <c r="K30" s="3">
        <v>15</v>
      </c>
      <c r="L30" s="3">
        <v>4</v>
      </c>
      <c r="M30" s="3" t="s">
        <v>21</v>
      </c>
      <c r="N30" s="3">
        <v>9.8981405079999991</v>
      </c>
      <c r="O30" s="3" t="s">
        <v>32</v>
      </c>
      <c r="P30" s="3" t="s">
        <v>23</v>
      </c>
      <c r="Q30" s="3">
        <v>13</v>
      </c>
      <c r="R30" s="3">
        <v>171</v>
      </c>
      <c r="S30" s="3">
        <v>7</v>
      </c>
      <c r="T30" s="3">
        <v>59.429381810000002</v>
      </c>
      <c r="U30" s="3" t="s">
        <v>39</v>
      </c>
      <c r="V30" s="3">
        <v>0.81575707900000005</v>
      </c>
      <c r="W30" s="3" t="s">
        <v>33</v>
      </c>
      <c r="X30" s="3" t="s">
        <v>41</v>
      </c>
      <c r="Y30" s="7">
        <v>123.4370275</v>
      </c>
      <c r="Z30" s="5">
        <f t="shared" si="1"/>
        <v>54.109505181999992</v>
      </c>
      <c r="AA30" s="6">
        <f t="shared" si="0"/>
        <v>39</v>
      </c>
    </row>
    <row r="31" spans="1:27" x14ac:dyDescent="0.25">
      <c r="A31" t="s">
        <v>50</v>
      </c>
      <c r="B31" t="s">
        <v>76</v>
      </c>
      <c r="C31" s="8">
        <v>8318.9031946171708</v>
      </c>
      <c r="D31" s="3">
        <v>63.44755919</v>
      </c>
      <c r="E31" s="3">
        <v>3</v>
      </c>
      <c r="F31" s="3">
        <v>253</v>
      </c>
      <c r="G31" s="3">
        <v>45</v>
      </c>
      <c r="H31" s="3">
        <v>67</v>
      </c>
      <c r="I31" s="3" t="s">
        <v>29</v>
      </c>
      <c r="J31" s="6" t="s">
        <v>29</v>
      </c>
      <c r="K31" s="3">
        <v>5</v>
      </c>
      <c r="L31" s="3">
        <v>7</v>
      </c>
      <c r="M31" s="3" t="s">
        <v>21</v>
      </c>
      <c r="N31" s="3">
        <v>8.1009731449999993</v>
      </c>
      <c r="O31" s="3" t="s">
        <v>32</v>
      </c>
      <c r="P31" s="3" t="s">
        <v>38</v>
      </c>
      <c r="Q31" s="3">
        <v>16</v>
      </c>
      <c r="R31" s="3">
        <v>329</v>
      </c>
      <c r="S31" s="3">
        <v>7</v>
      </c>
      <c r="T31" s="3">
        <v>39.292875590000001</v>
      </c>
      <c r="U31" s="3" t="s">
        <v>57</v>
      </c>
      <c r="V31" s="3">
        <v>3.8780989369999999</v>
      </c>
      <c r="W31" s="3" t="s">
        <v>25</v>
      </c>
      <c r="X31" s="3" t="s">
        <v>26</v>
      </c>
      <c r="Y31" s="7">
        <v>764.93537590000005</v>
      </c>
      <c r="Z31" s="5">
        <f t="shared" si="1"/>
        <v>717.54152716500005</v>
      </c>
      <c r="AA31" s="6">
        <f t="shared" si="0"/>
        <v>35</v>
      </c>
    </row>
    <row r="32" spans="1:27" x14ac:dyDescent="0.25">
      <c r="A32" t="s">
        <v>18</v>
      </c>
      <c r="B32" t="s">
        <v>77</v>
      </c>
      <c r="C32" s="8">
        <v>2766.3423668660798</v>
      </c>
      <c r="D32" s="3">
        <v>8.0228592110000001</v>
      </c>
      <c r="E32" s="3">
        <v>10</v>
      </c>
      <c r="F32" s="3">
        <v>327</v>
      </c>
      <c r="G32" s="3">
        <v>60</v>
      </c>
      <c r="H32" s="3">
        <v>35</v>
      </c>
      <c r="I32" s="3" t="s">
        <v>48</v>
      </c>
      <c r="J32" s="6" t="s">
        <v>48</v>
      </c>
      <c r="K32" s="3">
        <v>26</v>
      </c>
      <c r="L32" s="3">
        <v>7</v>
      </c>
      <c r="M32" s="3" t="s">
        <v>21</v>
      </c>
      <c r="N32" s="3">
        <v>8.9545283149999992</v>
      </c>
      <c r="O32" s="3" t="s">
        <v>45</v>
      </c>
      <c r="P32" s="3" t="s">
        <v>38</v>
      </c>
      <c r="Q32" s="3">
        <v>27</v>
      </c>
      <c r="R32" s="3">
        <v>806</v>
      </c>
      <c r="S32" s="3">
        <v>30</v>
      </c>
      <c r="T32" s="3">
        <v>51.634893400000003</v>
      </c>
      <c r="U32" s="3" t="s">
        <v>24</v>
      </c>
      <c r="V32" s="3">
        <v>0.96539470500000002</v>
      </c>
      <c r="W32" s="3" t="s">
        <v>25</v>
      </c>
      <c r="X32" s="3" t="s">
        <v>34</v>
      </c>
      <c r="Y32" s="7">
        <v>880.08098819999998</v>
      </c>
      <c r="Z32" s="5">
        <f t="shared" si="1"/>
        <v>819.49156648500002</v>
      </c>
      <c r="AA32" s="6">
        <f t="shared" si="0"/>
        <v>90</v>
      </c>
    </row>
    <row r="33" spans="1:27" x14ac:dyDescent="0.25">
      <c r="A33" t="s">
        <v>27</v>
      </c>
      <c r="B33" t="s">
        <v>78</v>
      </c>
      <c r="C33" s="8">
        <v>9655.1351027193905</v>
      </c>
      <c r="D33" s="3">
        <v>50.847393050000001</v>
      </c>
      <c r="E33" s="3">
        <v>28</v>
      </c>
      <c r="F33" s="3">
        <v>168</v>
      </c>
      <c r="G33" s="3">
        <v>6</v>
      </c>
      <c r="H33" s="3">
        <v>44</v>
      </c>
      <c r="I33" s="3" t="s">
        <v>48</v>
      </c>
      <c r="J33" s="6" t="s">
        <v>48</v>
      </c>
      <c r="K33" s="3">
        <v>17</v>
      </c>
      <c r="L33" s="3">
        <v>4</v>
      </c>
      <c r="M33" s="3" t="s">
        <v>21</v>
      </c>
      <c r="N33" s="3">
        <v>2.6796609650000001</v>
      </c>
      <c r="O33" s="3" t="s">
        <v>22</v>
      </c>
      <c r="P33" s="3" t="s">
        <v>55</v>
      </c>
      <c r="Q33" s="3">
        <v>24</v>
      </c>
      <c r="R33" s="3">
        <v>461</v>
      </c>
      <c r="S33" s="3">
        <v>8</v>
      </c>
      <c r="T33" s="3">
        <v>60.251145659999999</v>
      </c>
      <c r="U33" s="3" t="s">
        <v>24</v>
      </c>
      <c r="V33" s="3">
        <v>2.989000007</v>
      </c>
      <c r="W33" s="3" t="s">
        <v>40</v>
      </c>
      <c r="X33" s="3" t="s">
        <v>34</v>
      </c>
      <c r="Y33" s="7">
        <v>609.37920659999997</v>
      </c>
      <c r="Z33" s="5">
        <f t="shared" si="1"/>
        <v>546.44839997500003</v>
      </c>
      <c r="AA33" s="6">
        <f t="shared" si="0"/>
        <v>53</v>
      </c>
    </row>
    <row r="34" spans="1:27" x14ac:dyDescent="0.25">
      <c r="A34" t="s">
        <v>27</v>
      </c>
      <c r="B34" t="s">
        <v>79</v>
      </c>
      <c r="C34" s="8">
        <v>9571.5504873278096</v>
      </c>
      <c r="D34" s="3">
        <v>79.209936020000001</v>
      </c>
      <c r="E34" s="3">
        <v>43</v>
      </c>
      <c r="F34" s="3">
        <v>781</v>
      </c>
      <c r="G34" s="3">
        <v>89</v>
      </c>
      <c r="H34" s="3">
        <v>64</v>
      </c>
      <c r="I34" s="3" t="s">
        <v>154</v>
      </c>
      <c r="J34" s="6" t="s">
        <v>29</v>
      </c>
      <c r="K34" s="3">
        <v>13</v>
      </c>
      <c r="L34" s="3">
        <v>4</v>
      </c>
      <c r="M34" s="3" t="s">
        <v>36</v>
      </c>
      <c r="N34" s="3">
        <v>6.5991049009999996</v>
      </c>
      <c r="O34" s="3" t="s">
        <v>22</v>
      </c>
      <c r="P34" s="3" t="s">
        <v>38</v>
      </c>
      <c r="Q34" s="3">
        <v>30</v>
      </c>
      <c r="R34" s="3">
        <v>737</v>
      </c>
      <c r="S34" s="3">
        <v>7</v>
      </c>
      <c r="T34" s="3">
        <v>29.692467149999999</v>
      </c>
      <c r="U34" s="3" t="s">
        <v>57</v>
      </c>
      <c r="V34" s="3">
        <v>1.946036119</v>
      </c>
      <c r="W34" s="3" t="s">
        <v>25</v>
      </c>
      <c r="X34" s="3" t="s">
        <v>41</v>
      </c>
      <c r="Y34" s="7">
        <v>761.17390950000004</v>
      </c>
      <c r="Z34" s="5">
        <f t="shared" ref="Z34:Z65" si="2">Y34-(T34+N34)</f>
        <v>724.88233744900003</v>
      </c>
      <c r="AA34" s="6">
        <f t="shared" ref="AA34:AA65" si="3">S34+Q34+L34+K34</f>
        <v>54</v>
      </c>
    </row>
    <row r="35" spans="1:27" x14ac:dyDescent="0.25">
      <c r="A35" t="s">
        <v>50</v>
      </c>
      <c r="B35" t="s">
        <v>80</v>
      </c>
      <c r="C35" s="8">
        <v>5149.9983504080301</v>
      </c>
      <c r="D35" s="3">
        <v>64.795434999999998</v>
      </c>
      <c r="E35" s="3">
        <v>63</v>
      </c>
      <c r="F35" s="3">
        <v>616</v>
      </c>
      <c r="G35" s="3">
        <v>4</v>
      </c>
      <c r="H35" s="3">
        <v>95</v>
      </c>
      <c r="I35" s="3" t="s">
        <v>20</v>
      </c>
      <c r="J35" s="6" t="s">
        <v>20</v>
      </c>
      <c r="K35" s="3">
        <v>17</v>
      </c>
      <c r="L35" s="3">
        <v>9</v>
      </c>
      <c r="M35" s="3" t="s">
        <v>36</v>
      </c>
      <c r="N35" s="3">
        <v>4.858270503</v>
      </c>
      <c r="O35" s="3" t="s">
        <v>37</v>
      </c>
      <c r="P35" s="3" t="s">
        <v>55</v>
      </c>
      <c r="Q35" s="3">
        <v>1</v>
      </c>
      <c r="R35" s="3">
        <v>251</v>
      </c>
      <c r="S35" s="3">
        <v>23</v>
      </c>
      <c r="T35" s="3">
        <v>23.85342751</v>
      </c>
      <c r="U35" s="3" t="s">
        <v>39</v>
      </c>
      <c r="V35" s="3">
        <v>3.5410460119999998</v>
      </c>
      <c r="W35" s="3" t="s">
        <v>49</v>
      </c>
      <c r="X35" s="3" t="s">
        <v>41</v>
      </c>
      <c r="Y35" s="7">
        <v>371.25529549999999</v>
      </c>
      <c r="Z35" s="5">
        <f t="shared" si="2"/>
        <v>342.543597487</v>
      </c>
      <c r="AA35" s="6">
        <f t="shared" si="3"/>
        <v>50</v>
      </c>
    </row>
    <row r="36" spans="1:27" x14ac:dyDescent="0.25">
      <c r="A36" t="s">
        <v>27</v>
      </c>
      <c r="B36" t="s">
        <v>81</v>
      </c>
      <c r="C36" s="8">
        <v>9061.7108955077201</v>
      </c>
      <c r="D36" s="3">
        <v>37.467592330000002</v>
      </c>
      <c r="E36" s="3">
        <v>96</v>
      </c>
      <c r="F36" s="3">
        <v>602</v>
      </c>
      <c r="G36" s="3">
        <v>1</v>
      </c>
      <c r="H36" s="3">
        <v>21</v>
      </c>
      <c r="I36" s="3" t="s">
        <v>154</v>
      </c>
      <c r="J36" s="6" t="s">
        <v>29</v>
      </c>
      <c r="K36" s="3">
        <v>26</v>
      </c>
      <c r="L36" s="3">
        <v>7</v>
      </c>
      <c r="M36" s="3" t="s">
        <v>30</v>
      </c>
      <c r="N36" s="3">
        <v>1.019487571</v>
      </c>
      <c r="O36" s="3" t="s">
        <v>32</v>
      </c>
      <c r="P36" s="3" t="s">
        <v>55</v>
      </c>
      <c r="Q36" s="3">
        <v>4</v>
      </c>
      <c r="R36" s="3">
        <v>452</v>
      </c>
      <c r="S36" s="3">
        <v>10</v>
      </c>
      <c r="T36" s="3">
        <v>10.754272820000001</v>
      </c>
      <c r="U36" s="3" t="s">
        <v>57</v>
      </c>
      <c r="V36" s="3">
        <v>0.64660455900000002</v>
      </c>
      <c r="W36" s="3" t="s">
        <v>25</v>
      </c>
      <c r="X36" s="3" t="s">
        <v>26</v>
      </c>
      <c r="Y36" s="7">
        <v>510.35800039999998</v>
      </c>
      <c r="Z36" s="5">
        <f t="shared" si="2"/>
        <v>498.58424000899998</v>
      </c>
      <c r="AA36" s="6">
        <f t="shared" si="3"/>
        <v>47</v>
      </c>
    </row>
    <row r="37" spans="1:27" x14ac:dyDescent="0.25">
      <c r="A37" t="s">
        <v>50</v>
      </c>
      <c r="B37" t="s">
        <v>82</v>
      </c>
      <c r="C37" s="8">
        <v>6541.3293448024597</v>
      </c>
      <c r="D37" s="3">
        <v>84.957786819999995</v>
      </c>
      <c r="E37" s="3">
        <v>11</v>
      </c>
      <c r="F37" s="3">
        <v>449</v>
      </c>
      <c r="G37" s="3">
        <v>42</v>
      </c>
      <c r="H37" s="3">
        <v>85</v>
      </c>
      <c r="I37" s="3" t="s">
        <v>29</v>
      </c>
      <c r="J37" s="6" t="s">
        <v>29</v>
      </c>
      <c r="K37" s="3">
        <v>27</v>
      </c>
      <c r="L37" s="3">
        <v>8</v>
      </c>
      <c r="M37" s="3" t="s">
        <v>36</v>
      </c>
      <c r="N37" s="3">
        <v>5.2881899900000002</v>
      </c>
      <c r="O37" s="3" t="s">
        <v>32</v>
      </c>
      <c r="P37" s="3" t="s">
        <v>43</v>
      </c>
      <c r="Q37" s="3">
        <v>3</v>
      </c>
      <c r="R37" s="3">
        <v>367</v>
      </c>
      <c r="S37" s="3">
        <v>2</v>
      </c>
      <c r="T37" s="3">
        <v>58.004787039999997</v>
      </c>
      <c r="U37" s="3" t="s">
        <v>57</v>
      </c>
      <c r="V37" s="3">
        <v>0.54115409800000003</v>
      </c>
      <c r="W37" s="3" t="s">
        <v>49</v>
      </c>
      <c r="X37" s="3" t="s">
        <v>34</v>
      </c>
      <c r="Y37" s="7">
        <v>553.42047119999995</v>
      </c>
      <c r="Z37" s="5">
        <f t="shared" si="2"/>
        <v>490.12749416999998</v>
      </c>
      <c r="AA37" s="6">
        <f t="shared" si="3"/>
        <v>40</v>
      </c>
    </row>
    <row r="38" spans="1:27" x14ac:dyDescent="0.25">
      <c r="A38" t="s">
        <v>27</v>
      </c>
      <c r="B38" t="s">
        <v>83</v>
      </c>
      <c r="C38" s="8">
        <v>7573.4024578487297</v>
      </c>
      <c r="D38" s="3">
        <v>9.8130025790000008</v>
      </c>
      <c r="E38" s="3">
        <v>34</v>
      </c>
      <c r="F38" s="3">
        <v>963</v>
      </c>
      <c r="G38" s="3">
        <v>18</v>
      </c>
      <c r="H38" s="3">
        <v>28</v>
      </c>
      <c r="I38" s="3" t="s">
        <v>29</v>
      </c>
      <c r="J38" s="6" t="s">
        <v>29</v>
      </c>
      <c r="K38" s="3">
        <v>23</v>
      </c>
      <c r="L38" s="3">
        <v>3</v>
      </c>
      <c r="M38" s="3" t="s">
        <v>21</v>
      </c>
      <c r="N38" s="3">
        <v>2.1079512669999998</v>
      </c>
      <c r="O38" s="3" t="s">
        <v>54</v>
      </c>
      <c r="P38" s="3" t="s">
        <v>43</v>
      </c>
      <c r="Q38" s="3">
        <v>26</v>
      </c>
      <c r="R38" s="3">
        <v>671</v>
      </c>
      <c r="S38" s="3">
        <v>19</v>
      </c>
      <c r="T38" s="3">
        <v>45.531364240000002</v>
      </c>
      <c r="U38" s="3" t="s">
        <v>39</v>
      </c>
      <c r="V38" s="3">
        <v>3.8055333789999999</v>
      </c>
      <c r="W38" s="3" t="s">
        <v>33</v>
      </c>
      <c r="X38" s="3" t="s">
        <v>34</v>
      </c>
      <c r="Y38" s="7">
        <v>403.80897420000002</v>
      </c>
      <c r="Z38" s="5">
        <f t="shared" si="2"/>
        <v>356.16965869300003</v>
      </c>
      <c r="AA38" s="6">
        <f t="shared" si="3"/>
        <v>71</v>
      </c>
    </row>
    <row r="39" spans="1:27" x14ac:dyDescent="0.25">
      <c r="A39" t="s">
        <v>27</v>
      </c>
      <c r="B39" t="s">
        <v>84</v>
      </c>
      <c r="C39" s="8">
        <v>2438.3399304700201</v>
      </c>
      <c r="D39" s="3">
        <v>23.39984475</v>
      </c>
      <c r="E39" s="3">
        <v>5</v>
      </c>
      <c r="F39" s="3">
        <v>963</v>
      </c>
      <c r="G39" s="3">
        <v>25</v>
      </c>
      <c r="H39" s="3">
        <v>21</v>
      </c>
      <c r="I39" s="3" t="s">
        <v>29</v>
      </c>
      <c r="J39" s="6" t="s">
        <v>29</v>
      </c>
      <c r="K39" s="3">
        <v>8</v>
      </c>
      <c r="L39" s="3">
        <v>9</v>
      </c>
      <c r="M39" s="3" t="s">
        <v>30</v>
      </c>
      <c r="N39" s="3">
        <v>1.5326552739999999</v>
      </c>
      <c r="O39" s="3" t="s">
        <v>22</v>
      </c>
      <c r="P39" s="3" t="s">
        <v>38</v>
      </c>
      <c r="Q39" s="3">
        <v>24</v>
      </c>
      <c r="R39" s="3">
        <v>867</v>
      </c>
      <c r="S39" s="3">
        <v>15</v>
      </c>
      <c r="T39" s="3">
        <v>34.343277469999997</v>
      </c>
      <c r="U39" s="3" t="s">
        <v>24</v>
      </c>
      <c r="V39" s="3">
        <v>2.6102880850000001</v>
      </c>
      <c r="W39" s="3" t="s">
        <v>49</v>
      </c>
      <c r="X39" s="3" t="s">
        <v>41</v>
      </c>
      <c r="Y39" s="7">
        <v>183.93296799999999</v>
      </c>
      <c r="Z39" s="5">
        <f t="shared" si="2"/>
        <v>148.05703525600001</v>
      </c>
      <c r="AA39" s="6">
        <f t="shared" si="3"/>
        <v>56</v>
      </c>
    </row>
    <row r="40" spans="1:27" x14ac:dyDescent="0.25">
      <c r="A40" t="s">
        <v>50</v>
      </c>
      <c r="B40" t="s">
        <v>85</v>
      </c>
      <c r="C40" s="8">
        <v>9692.3180402184298</v>
      </c>
      <c r="D40" s="3">
        <v>52.075930679999999</v>
      </c>
      <c r="E40" s="3">
        <v>75</v>
      </c>
      <c r="F40" s="3">
        <v>705</v>
      </c>
      <c r="G40" s="3">
        <v>69</v>
      </c>
      <c r="H40" s="3">
        <v>88</v>
      </c>
      <c r="I40" s="3" t="s">
        <v>20</v>
      </c>
      <c r="J40" s="6" t="s">
        <v>20</v>
      </c>
      <c r="K40" s="3">
        <v>1</v>
      </c>
      <c r="L40" s="3">
        <v>5</v>
      </c>
      <c r="M40" s="3" t="s">
        <v>21</v>
      </c>
      <c r="N40" s="3">
        <v>9.2359314369999996</v>
      </c>
      <c r="O40" s="3" t="s">
        <v>37</v>
      </c>
      <c r="P40" s="3" t="s">
        <v>23</v>
      </c>
      <c r="Q40" s="3">
        <v>10</v>
      </c>
      <c r="R40" s="3">
        <v>841</v>
      </c>
      <c r="S40" s="3">
        <v>12</v>
      </c>
      <c r="T40" s="3">
        <v>5.9306936459999999</v>
      </c>
      <c r="U40" s="3" t="s">
        <v>24</v>
      </c>
      <c r="V40" s="3">
        <v>0.61332689900000004</v>
      </c>
      <c r="W40" s="3" t="s">
        <v>33</v>
      </c>
      <c r="X40" s="3" t="s">
        <v>26</v>
      </c>
      <c r="Y40" s="7">
        <v>339.67286990000002</v>
      </c>
      <c r="Z40" s="5">
        <f t="shared" si="2"/>
        <v>324.50624481700004</v>
      </c>
      <c r="AA40" s="6">
        <f t="shared" si="3"/>
        <v>28</v>
      </c>
    </row>
    <row r="41" spans="1:27" x14ac:dyDescent="0.25">
      <c r="A41" t="s">
        <v>27</v>
      </c>
      <c r="B41" t="s">
        <v>86</v>
      </c>
      <c r="C41" s="8">
        <v>1912.4656631007599</v>
      </c>
      <c r="D41" s="3">
        <v>19.12747727</v>
      </c>
      <c r="E41" s="3">
        <v>26</v>
      </c>
      <c r="F41" s="3">
        <v>176</v>
      </c>
      <c r="G41" s="3">
        <v>78</v>
      </c>
      <c r="H41" s="3">
        <v>34</v>
      </c>
      <c r="I41" s="3" t="s">
        <v>29</v>
      </c>
      <c r="J41" s="6" t="s">
        <v>29</v>
      </c>
      <c r="K41" s="3">
        <v>29</v>
      </c>
      <c r="L41" s="3">
        <v>3</v>
      </c>
      <c r="M41" s="3" t="s">
        <v>30</v>
      </c>
      <c r="N41" s="3">
        <v>5.562503779</v>
      </c>
      <c r="O41" s="3" t="s">
        <v>54</v>
      </c>
      <c r="P41" s="3" t="s">
        <v>38</v>
      </c>
      <c r="Q41" s="3">
        <v>30</v>
      </c>
      <c r="R41" s="3">
        <v>791</v>
      </c>
      <c r="S41" s="3">
        <v>6</v>
      </c>
      <c r="T41" s="3">
        <v>9.0058074290000008</v>
      </c>
      <c r="U41" s="3" t="s">
        <v>39</v>
      </c>
      <c r="V41" s="3">
        <v>1.451972204</v>
      </c>
      <c r="W41" s="3" t="s">
        <v>33</v>
      </c>
      <c r="X41" s="3" t="s">
        <v>26</v>
      </c>
      <c r="Y41" s="7">
        <v>653.67299460000004</v>
      </c>
      <c r="Z41" s="5">
        <f t="shared" si="2"/>
        <v>639.10468339200008</v>
      </c>
      <c r="AA41" s="6">
        <f t="shared" si="3"/>
        <v>68</v>
      </c>
    </row>
    <row r="42" spans="1:27" x14ac:dyDescent="0.25">
      <c r="A42" t="s">
        <v>27</v>
      </c>
      <c r="B42" t="s">
        <v>87</v>
      </c>
      <c r="C42" s="8">
        <v>5724.9593504562599</v>
      </c>
      <c r="D42" s="3">
        <v>80.541424169999999</v>
      </c>
      <c r="E42" s="3">
        <v>97</v>
      </c>
      <c r="F42" s="3">
        <v>933</v>
      </c>
      <c r="G42" s="3">
        <v>90</v>
      </c>
      <c r="H42" s="3">
        <v>39</v>
      </c>
      <c r="I42" s="3" t="s">
        <v>29</v>
      </c>
      <c r="J42" s="6" t="s">
        <v>29</v>
      </c>
      <c r="K42" s="3">
        <v>20</v>
      </c>
      <c r="L42" s="3">
        <v>8</v>
      </c>
      <c r="M42" s="3" t="s">
        <v>36</v>
      </c>
      <c r="N42" s="3">
        <v>7.2295951399999998</v>
      </c>
      <c r="O42" s="3" t="s">
        <v>32</v>
      </c>
      <c r="P42" s="3" t="s">
        <v>38</v>
      </c>
      <c r="Q42" s="3">
        <v>18</v>
      </c>
      <c r="R42" s="3">
        <v>793</v>
      </c>
      <c r="S42" s="3">
        <v>1</v>
      </c>
      <c r="T42" s="3">
        <v>88.179407100000006</v>
      </c>
      <c r="U42" s="3" t="s">
        <v>24</v>
      </c>
      <c r="V42" s="3">
        <v>4.2132694309999996</v>
      </c>
      <c r="W42" s="3" t="s">
        <v>25</v>
      </c>
      <c r="X42" s="3" t="s">
        <v>41</v>
      </c>
      <c r="Y42" s="7">
        <v>529.80872399999998</v>
      </c>
      <c r="Z42" s="5">
        <f t="shared" si="2"/>
        <v>434.39972175999998</v>
      </c>
      <c r="AA42" s="6">
        <f t="shared" si="3"/>
        <v>47</v>
      </c>
    </row>
    <row r="43" spans="1:27" x14ac:dyDescent="0.25">
      <c r="A43" t="s">
        <v>27</v>
      </c>
      <c r="B43" t="s">
        <v>88</v>
      </c>
      <c r="C43" s="8">
        <v>5521.2052590109697</v>
      </c>
      <c r="D43" s="3">
        <v>99.113291619999998</v>
      </c>
      <c r="E43" s="3">
        <v>35</v>
      </c>
      <c r="F43" s="3">
        <v>556</v>
      </c>
      <c r="G43" s="3">
        <v>64</v>
      </c>
      <c r="H43" s="3">
        <v>38</v>
      </c>
      <c r="I43" s="3" t="s">
        <v>29</v>
      </c>
      <c r="J43" s="6" t="s">
        <v>29</v>
      </c>
      <c r="K43" s="3">
        <v>19</v>
      </c>
      <c r="L43" s="3">
        <v>8</v>
      </c>
      <c r="M43" s="3" t="s">
        <v>21</v>
      </c>
      <c r="N43" s="3">
        <v>5.7732637440000003</v>
      </c>
      <c r="O43" s="3" t="s">
        <v>45</v>
      </c>
      <c r="P43" s="3" t="s">
        <v>55</v>
      </c>
      <c r="Q43" s="3">
        <v>18</v>
      </c>
      <c r="R43" s="3">
        <v>892</v>
      </c>
      <c r="S43" s="3">
        <v>7</v>
      </c>
      <c r="T43" s="3">
        <v>95.332064549999998</v>
      </c>
      <c r="U43" s="3" t="s">
        <v>39</v>
      </c>
      <c r="V43" s="3">
        <v>4.5302262000000003E-2</v>
      </c>
      <c r="W43" s="3" t="s">
        <v>49</v>
      </c>
      <c r="X43" s="3" t="s">
        <v>41</v>
      </c>
      <c r="Y43" s="7">
        <v>275.5243711</v>
      </c>
      <c r="Z43" s="5">
        <f t="shared" si="2"/>
        <v>174.41904280599999</v>
      </c>
      <c r="AA43" s="6">
        <f t="shared" si="3"/>
        <v>52</v>
      </c>
    </row>
    <row r="44" spans="1:27" x14ac:dyDescent="0.25">
      <c r="A44" t="s">
        <v>27</v>
      </c>
      <c r="B44" t="s">
        <v>89</v>
      </c>
      <c r="C44" s="8">
        <v>1839.60942585676</v>
      </c>
      <c r="D44" s="3">
        <v>46.529167610000002</v>
      </c>
      <c r="E44" s="3">
        <v>98</v>
      </c>
      <c r="F44" s="3">
        <v>155</v>
      </c>
      <c r="G44" s="3">
        <v>22</v>
      </c>
      <c r="H44" s="3">
        <v>57</v>
      </c>
      <c r="I44" s="3" t="s">
        <v>29</v>
      </c>
      <c r="J44" s="6" t="s">
        <v>29</v>
      </c>
      <c r="K44" s="3">
        <v>27</v>
      </c>
      <c r="L44" s="3">
        <v>4</v>
      </c>
      <c r="M44" s="3" t="s">
        <v>36</v>
      </c>
      <c r="N44" s="3">
        <v>7.5262483270000002</v>
      </c>
      <c r="O44" s="3" t="s">
        <v>37</v>
      </c>
      <c r="P44" s="3" t="s">
        <v>46</v>
      </c>
      <c r="Q44" s="3">
        <v>26</v>
      </c>
      <c r="R44" s="3">
        <v>179</v>
      </c>
      <c r="S44" s="3">
        <v>7</v>
      </c>
      <c r="T44" s="3">
        <v>96.422820639999998</v>
      </c>
      <c r="U44" s="3" t="s">
        <v>39</v>
      </c>
      <c r="V44" s="3">
        <v>4.9392552890000001</v>
      </c>
      <c r="W44" s="3" t="s">
        <v>25</v>
      </c>
      <c r="X44" s="3" t="s">
        <v>41</v>
      </c>
      <c r="Y44" s="7">
        <v>635.65712050000002</v>
      </c>
      <c r="Z44" s="5">
        <f t="shared" si="2"/>
        <v>531.708051533</v>
      </c>
      <c r="AA44" s="6">
        <f t="shared" si="3"/>
        <v>64</v>
      </c>
    </row>
    <row r="45" spans="1:27" x14ac:dyDescent="0.25">
      <c r="A45" t="s">
        <v>18</v>
      </c>
      <c r="B45" t="s">
        <v>90</v>
      </c>
      <c r="C45" s="8">
        <v>5737.4255991190203</v>
      </c>
      <c r="D45" s="3">
        <v>11.743271780000001</v>
      </c>
      <c r="E45" s="3">
        <v>6</v>
      </c>
      <c r="F45" s="3">
        <v>598</v>
      </c>
      <c r="G45" s="3">
        <v>36</v>
      </c>
      <c r="H45" s="3">
        <v>85</v>
      </c>
      <c r="I45" s="3" t="s">
        <v>154</v>
      </c>
      <c r="J45" s="6" t="s">
        <v>48</v>
      </c>
      <c r="K45" s="3">
        <v>29</v>
      </c>
      <c r="L45" s="3">
        <v>9</v>
      </c>
      <c r="M45" s="3" t="s">
        <v>21</v>
      </c>
      <c r="N45" s="3">
        <v>3.6940212680000002</v>
      </c>
      <c r="O45" s="3" t="s">
        <v>37</v>
      </c>
      <c r="P45" s="3" t="s">
        <v>23</v>
      </c>
      <c r="Q45" s="3">
        <v>1</v>
      </c>
      <c r="R45" s="3">
        <v>206</v>
      </c>
      <c r="S45" s="3">
        <v>23</v>
      </c>
      <c r="T45" s="3">
        <v>26.277365960000001</v>
      </c>
      <c r="U45" s="3" t="s">
        <v>24</v>
      </c>
      <c r="V45" s="3">
        <v>0.37230476800000001</v>
      </c>
      <c r="W45" s="3" t="s">
        <v>33</v>
      </c>
      <c r="X45" s="3" t="s">
        <v>41</v>
      </c>
      <c r="Y45" s="7">
        <v>716.04411979999998</v>
      </c>
      <c r="Z45" s="5">
        <f t="shared" si="2"/>
        <v>686.07273257199995</v>
      </c>
      <c r="AA45" s="6">
        <f t="shared" si="3"/>
        <v>62</v>
      </c>
    </row>
    <row r="46" spans="1:27" x14ac:dyDescent="0.25">
      <c r="A46" t="s">
        <v>50</v>
      </c>
      <c r="B46" t="s">
        <v>91</v>
      </c>
      <c r="C46" s="8">
        <v>7152.28604943551</v>
      </c>
      <c r="D46" s="3">
        <v>51.355790910000003</v>
      </c>
      <c r="E46" s="3">
        <v>34</v>
      </c>
      <c r="F46" s="3">
        <v>919</v>
      </c>
      <c r="G46" s="3">
        <v>13</v>
      </c>
      <c r="H46" s="3">
        <v>72</v>
      </c>
      <c r="I46" s="3" t="s">
        <v>29</v>
      </c>
      <c r="J46" s="6" t="s">
        <v>29</v>
      </c>
      <c r="K46" s="3">
        <v>19</v>
      </c>
      <c r="L46" s="3">
        <v>6</v>
      </c>
      <c r="M46" s="3" t="s">
        <v>36</v>
      </c>
      <c r="N46" s="3">
        <v>7.5774496569999998</v>
      </c>
      <c r="O46" s="3" t="s">
        <v>54</v>
      </c>
      <c r="P46" s="3" t="s">
        <v>43</v>
      </c>
      <c r="Q46" s="3">
        <v>7</v>
      </c>
      <c r="R46" s="3">
        <v>834</v>
      </c>
      <c r="S46" s="3">
        <v>18</v>
      </c>
      <c r="T46" s="3">
        <v>22.554106619999999</v>
      </c>
      <c r="U46" s="3" t="s">
        <v>39</v>
      </c>
      <c r="V46" s="3">
        <v>2.96262632</v>
      </c>
      <c r="W46" s="3" t="s">
        <v>40</v>
      </c>
      <c r="X46" s="3" t="s">
        <v>41</v>
      </c>
      <c r="Y46" s="7">
        <v>610.4532696</v>
      </c>
      <c r="Z46" s="5">
        <f t="shared" si="2"/>
        <v>580.32171332300004</v>
      </c>
      <c r="AA46" s="6">
        <f t="shared" si="3"/>
        <v>50</v>
      </c>
    </row>
    <row r="47" spans="1:27" x14ac:dyDescent="0.25">
      <c r="A47" t="s">
        <v>18</v>
      </c>
      <c r="B47" t="s">
        <v>92</v>
      </c>
      <c r="C47" s="8">
        <v>5267.9568075105199</v>
      </c>
      <c r="D47" s="3">
        <v>33.784138030000001</v>
      </c>
      <c r="E47" s="3">
        <v>1</v>
      </c>
      <c r="F47" s="3">
        <v>24</v>
      </c>
      <c r="G47" s="3">
        <v>93</v>
      </c>
      <c r="H47" s="3">
        <v>52</v>
      </c>
      <c r="I47" s="3" t="s">
        <v>48</v>
      </c>
      <c r="J47" s="6" t="s">
        <v>48</v>
      </c>
      <c r="K47" s="3">
        <v>7</v>
      </c>
      <c r="L47" s="3">
        <v>6</v>
      </c>
      <c r="M47" s="3" t="s">
        <v>21</v>
      </c>
      <c r="N47" s="3">
        <v>5.2151550090000001</v>
      </c>
      <c r="O47" s="3" t="s">
        <v>54</v>
      </c>
      <c r="P47" s="3" t="s">
        <v>55</v>
      </c>
      <c r="Q47" s="3">
        <v>25</v>
      </c>
      <c r="R47" s="3">
        <v>794</v>
      </c>
      <c r="S47" s="3">
        <v>25</v>
      </c>
      <c r="T47" s="3">
        <v>66.312544439999996</v>
      </c>
      <c r="U47" s="3" t="s">
        <v>57</v>
      </c>
      <c r="V47" s="3">
        <v>3.2196046119999999</v>
      </c>
      <c r="W47" s="3" t="s">
        <v>40</v>
      </c>
      <c r="X47" s="3" t="s">
        <v>41</v>
      </c>
      <c r="Y47" s="7">
        <v>495.30569700000001</v>
      </c>
      <c r="Z47" s="5">
        <f t="shared" si="2"/>
        <v>423.777997551</v>
      </c>
      <c r="AA47" s="6">
        <f t="shared" si="3"/>
        <v>63</v>
      </c>
    </row>
    <row r="48" spans="1:27" x14ac:dyDescent="0.25">
      <c r="A48" t="s">
        <v>18</v>
      </c>
      <c r="B48" t="s">
        <v>93</v>
      </c>
      <c r="C48" s="8">
        <v>2556.7673606335902</v>
      </c>
      <c r="D48" s="3">
        <v>27.082207199999999</v>
      </c>
      <c r="E48" s="3">
        <v>75</v>
      </c>
      <c r="F48" s="3">
        <v>859</v>
      </c>
      <c r="G48" s="3">
        <v>92</v>
      </c>
      <c r="H48" s="3">
        <v>6</v>
      </c>
      <c r="I48" s="3" t="s">
        <v>20</v>
      </c>
      <c r="J48" s="6" t="s">
        <v>20</v>
      </c>
      <c r="K48" s="3">
        <v>29</v>
      </c>
      <c r="L48" s="3">
        <v>8</v>
      </c>
      <c r="M48" s="3" t="s">
        <v>21</v>
      </c>
      <c r="N48" s="3">
        <v>4.0709558369999996</v>
      </c>
      <c r="O48" s="3" t="s">
        <v>22</v>
      </c>
      <c r="P48" s="3" t="s">
        <v>55</v>
      </c>
      <c r="Q48" s="3">
        <v>18</v>
      </c>
      <c r="R48" s="3">
        <v>870</v>
      </c>
      <c r="S48" s="3">
        <v>23</v>
      </c>
      <c r="T48" s="3">
        <v>77.322353210000003</v>
      </c>
      <c r="U48" s="3" t="s">
        <v>24</v>
      </c>
      <c r="V48" s="3">
        <v>3.6486105929999999</v>
      </c>
      <c r="W48" s="3" t="s">
        <v>25</v>
      </c>
      <c r="X48" s="3" t="s">
        <v>26</v>
      </c>
      <c r="Y48" s="7">
        <v>380.43593709999999</v>
      </c>
      <c r="Z48" s="5">
        <f t="shared" si="2"/>
        <v>299.04262805299999</v>
      </c>
      <c r="AA48" s="6">
        <f t="shared" si="3"/>
        <v>78</v>
      </c>
    </row>
    <row r="49" spans="1:27" x14ac:dyDescent="0.25">
      <c r="A49" t="s">
        <v>27</v>
      </c>
      <c r="B49" t="s">
        <v>94</v>
      </c>
      <c r="C49" s="8">
        <v>7089.4742499341801</v>
      </c>
      <c r="D49" s="3">
        <v>95.712135880000005</v>
      </c>
      <c r="E49" s="3">
        <v>93</v>
      </c>
      <c r="F49" s="3">
        <v>910</v>
      </c>
      <c r="G49" s="3">
        <v>4</v>
      </c>
      <c r="H49" s="3">
        <v>51</v>
      </c>
      <c r="I49" s="3" t="s">
        <v>48</v>
      </c>
      <c r="J49" s="6" t="s">
        <v>48</v>
      </c>
      <c r="K49" s="3">
        <v>15</v>
      </c>
      <c r="L49" s="3">
        <v>9</v>
      </c>
      <c r="M49" s="3" t="s">
        <v>21</v>
      </c>
      <c r="N49" s="3">
        <v>8.9787507560000002</v>
      </c>
      <c r="O49" s="3" t="s">
        <v>32</v>
      </c>
      <c r="P49" s="3" t="s">
        <v>38</v>
      </c>
      <c r="Q49" s="3">
        <v>10</v>
      </c>
      <c r="R49" s="3">
        <v>964</v>
      </c>
      <c r="S49" s="3">
        <v>20</v>
      </c>
      <c r="T49" s="3">
        <v>19.712992910000001</v>
      </c>
      <c r="U49" s="3" t="s">
        <v>24</v>
      </c>
      <c r="V49" s="3">
        <v>0.38057358699999999</v>
      </c>
      <c r="W49" s="3" t="s">
        <v>40</v>
      </c>
      <c r="X49" s="3" t="s">
        <v>41</v>
      </c>
      <c r="Y49" s="7">
        <v>581.60235509999995</v>
      </c>
      <c r="Z49" s="5">
        <f t="shared" si="2"/>
        <v>552.91061143399997</v>
      </c>
      <c r="AA49" s="6">
        <f t="shared" si="3"/>
        <v>54</v>
      </c>
    </row>
    <row r="50" spans="1:27" x14ac:dyDescent="0.25">
      <c r="A50" t="s">
        <v>18</v>
      </c>
      <c r="B50" t="s">
        <v>95</v>
      </c>
      <c r="C50" s="8">
        <v>7397.0710049999998</v>
      </c>
      <c r="D50" s="3">
        <v>76.035544430000002</v>
      </c>
      <c r="E50" s="3">
        <v>28</v>
      </c>
      <c r="F50" s="3">
        <v>29</v>
      </c>
      <c r="G50" s="3">
        <v>30</v>
      </c>
      <c r="H50" s="3">
        <v>9</v>
      </c>
      <c r="I50" s="3" t="s">
        <v>20</v>
      </c>
      <c r="J50" s="6" t="s">
        <v>20</v>
      </c>
      <c r="K50" s="3">
        <v>16</v>
      </c>
      <c r="L50" s="3">
        <v>3</v>
      </c>
      <c r="M50" s="3" t="s">
        <v>36</v>
      </c>
      <c r="N50" s="3">
        <v>7.0958331570000004</v>
      </c>
      <c r="O50" s="3" t="s">
        <v>54</v>
      </c>
      <c r="P50" s="3" t="s">
        <v>23</v>
      </c>
      <c r="Q50" s="3">
        <v>9</v>
      </c>
      <c r="R50" s="3">
        <v>109</v>
      </c>
      <c r="S50" s="3">
        <v>18</v>
      </c>
      <c r="T50" s="3">
        <v>23.12636358</v>
      </c>
      <c r="U50" s="3" t="s">
        <v>39</v>
      </c>
      <c r="V50" s="3">
        <v>1.698112541</v>
      </c>
      <c r="W50" s="3" t="s">
        <v>40</v>
      </c>
      <c r="X50" s="3" t="s">
        <v>26</v>
      </c>
      <c r="Y50" s="7">
        <v>768.65191400000003</v>
      </c>
      <c r="Z50" s="5">
        <f t="shared" si="2"/>
        <v>738.42971726300004</v>
      </c>
      <c r="AA50" s="6">
        <f t="shared" si="3"/>
        <v>46</v>
      </c>
    </row>
    <row r="51" spans="1:27" x14ac:dyDescent="0.25">
      <c r="A51" t="s">
        <v>50</v>
      </c>
      <c r="B51" t="s">
        <v>96</v>
      </c>
      <c r="C51" s="8">
        <v>8001.6132065190004</v>
      </c>
      <c r="D51" s="3">
        <v>78.897913209999999</v>
      </c>
      <c r="E51" s="3">
        <v>19</v>
      </c>
      <c r="F51" s="3">
        <v>99</v>
      </c>
      <c r="G51" s="3">
        <v>97</v>
      </c>
      <c r="H51" s="3">
        <v>9</v>
      </c>
      <c r="I51" s="3" t="s">
        <v>154</v>
      </c>
      <c r="J51" s="6" t="s">
        <v>29</v>
      </c>
      <c r="K51" s="3">
        <v>24</v>
      </c>
      <c r="L51" s="3">
        <v>6</v>
      </c>
      <c r="M51" s="3" t="s">
        <v>36</v>
      </c>
      <c r="N51" s="3">
        <v>2.5056210330000002</v>
      </c>
      <c r="O51" s="3" t="s">
        <v>37</v>
      </c>
      <c r="P51" s="3" t="s">
        <v>43</v>
      </c>
      <c r="Q51" s="3">
        <v>28</v>
      </c>
      <c r="R51" s="3">
        <v>177</v>
      </c>
      <c r="S51" s="3">
        <v>28</v>
      </c>
      <c r="T51" s="3">
        <v>14.14781544</v>
      </c>
      <c r="U51" s="3" t="s">
        <v>57</v>
      </c>
      <c r="V51" s="3">
        <v>2.8258139849999999</v>
      </c>
      <c r="W51" s="3" t="s">
        <v>40</v>
      </c>
      <c r="X51" s="3" t="s">
        <v>41</v>
      </c>
      <c r="Y51" s="7">
        <v>336.89016850000002</v>
      </c>
      <c r="Z51" s="5">
        <f t="shared" si="2"/>
        <v>320.23673202700002</v>
      </c>
      <c r="AA51" s="6">
        <f t="shared" si="3"/>
        <v>86</v>
      </c>
    </row>
    <row r="52" spans="1:27" x14ac:dyDescent="0.25">
      <c r="A52" t="s">
        <v>50</v>
      </c>
      <c r="B52" t="s">
        <v>97</v>
      </c>
      <c r="C52" s="8">
        <v>5910.8853896688897</v>
      </c>
      <c r="D52" s="3">
        <v>14.20348426</v>
      </c>
      <c r="E52" s="3">
        <v>91</v>
      </c>
      <c r="F52" s="3">
        <v>633</v>
      </c>
      <c r="G52" s="3">
        <v>31</v>
      </c>
      <c r="H52" s="3">
        <v>82</v>
      </c>
      <c r="I52" s="3" t="s">
        <v>29</v>
      </c>
      <c r="J52" s="6" t="s">
        <v>29</v>
      </c>
      <c r="K52" s="3">
        <v>23</v>
      </c>
      <c r="L52" s="3">
        <v>10</v>
      </c>
      <c r="M52" s="3" t="s">
        <v>30</v>
      </c>
      <c r="N52" s="3">
        <v>6.2478609150000004</v>
      </c>
      <c r="O52" s="3" t="s">
        <v>54</v>
      </c>
      <c r="P52" s="3" t="s">
        <v>43</v>
      </c>
      <c r="Q52" s="3">
        <v>20</v>
      </c>
      <c r="R52" s="3">
        <v>306</v>
      </c>
      <c r="S52" s="3">
        <v>21</v>
      </c>
      <c r="T52" s="3">
        <v>45.178757920000002</v>
      </c>
      <c r="U52" s="3" t="s">
        <v>39</v>
      </c>
      <c r="V52" s="3">
        <v>4.7548008050000004</v>
      </c>
      <c r="W52" s="3" t="s">
        <v>40</v>
      </c>
      <c r="X52" s="3" t="s">
        <v>26</v>
      </c>
      <c r="Y52" s="7">
        <v>496.24865030000001</v>
      </c>
      <c r="Z52" s="5">
        <f t="shared" si="2"/>
        <v>444.82203146500001</v>
      </c>
      <c r="AA52" s="6">
        <f t="shared" si="3"/>
        <v>74</v>
      </c>
    </row>
    <row r="53" spans="1:27" x14ac:dyDescent="0.25">
      <c r="A53" t="s">
        <v>18</v>
      </c>
      <c r="B53" t="s">
        <v>98</v>
      </c>
      <c r="C53" s="8">
        <v>9866.4654579796897</v>
      </c>
      <c r="D53" s="3">
        <v>26.700760970000001</v>
      </c>
      <c r="E53" s="3">
        <v>61</v>
      </c>
      <c r="F53" s="3">
        <v>154</v>
      </c>
      <c r="G53" s="3">
        <v>100</v>
      </c>
      <c r="H53" s="3">
        <v>52</v>
      </c>
      <c r="I53" s="3" t="s">
        <v>48</v>
      </c>
      <c r="J53" s="6" t="s">
        <v>48</v>
      </c>
      <c r="K53" s="3">
        <v>4</v>
      </c>
      <c r="L53" s="3">
        <v>1</v>
      </c>
      <c r="M53" s="3" t="s">
        <v>30</v>
      </c>
      <c r="N53" s="3">
        <v>4.7830005580000003</v>
      </c>
      <c r="O53" s="3" t="s">
        <v>37</v>
      </c>
      <c r="P53" s="3" t="s">
        <v>46</v>
      </c>
      <c r="Q53" s="3">
        <v>18</v>
      </c>
      <c r="R53" s="3">
        <v>673</v>
      </c>
      <c r="S53" s="3">
        <v>28</v>
      </c>
      <c r="T53" s="3">
        <v>14.190328340000001</v>
      </c>
      <c r="U53" s="3" t="s">
        <v>24</v>
      </c>
      <c r="V53" s="3">
        <v>1.772951172</v>
      </c>
      <c r="W53" s="3" t="s">
        <v>25</v>
      </c>
      <c r="X53" s="3" t="s">
        <v>41</v>
      </c>
      <c r="Y53" s="7">
        <v>694.98231759999999</v>
      </c>
      <c r="Z53" s="5">
        <f t="shared" si="2"/>
        <v>676.00898870200001</v>
      </c>
      <c r="AA53" s="6">
        <f t="shared" si="3"/>
        <v>51</v>
      </c>
    </row>
    <row r="54" spans="1:27" x14ac:dyDescent="0.25">
      <c r="A54" t="s">
        <v>27</v>
      </c>
      <c r="B54" t="s">
        <v>99</v>
      </c>
      <c r="C54" s="8">
        <v>9435.7626089999994</v>
      </c>
      <c r="D54" s="3">
        <v>98.03182966</v>
      </c>
      <c r="E54" s="3">
        <v>1</v>
      </c>
      <c r="F54" s="3">
        <v>820</v>
      </c>
      <c r="G54" s="3">
        <v>64</v>
      </c>
      <c r="H54" s="3">
        <v>11</v>
      </c>
      <c r="I54" s="3" t="s">
        <v>48</v>
      </c>
      <c r="J54" s="6" t="s">
        <v>48</v>
      </c>
      <c r="K54" s="3">
        <v>11</v>
      </c>
      <c r="L54" s="3">
        <v>1</v>
      </c>
      <c r="M54" s="3" t="s">
        <v>21</v>
      </c>
      <c r="N54" s="3">
        <v>8.6310521799999993</v>
      </c>
      <c r="O54" s="3" t="s">
        <v>32</v>
      </c>
      <c r="P54" s="3" t="s">
        <v>23</v>
      </c>
      <c r="Q54" s="3">
        <v>10</v>
      </c>
      <c r="R54" s="3">
        <v>727</v>
      </c>
      <c r="S54" s="3">
        <v>27</v>
      </c>
      <c r="T54" s="3">
        <v>9.1668491490000008</v>
      </c>
      <c r="U54" s="3" t="s">
        <v>24</v>
      </c>
      <c r="V54" s="3">
        <v>2.1224716190000001</v>
      </c>
      <c r="W54" s="3" t="s">
        <v>33</v>
      </c>
      <c r="X54" s="3" t="s">
        <v>34</v>
      </c>
      <c r="Y54" s="7">
        <v>602.89849879999997</v>
      </c>
      <c r="Z54" s="5">
        <f t="shared" si="2"/>
        <v>585.10059747100001</v>
      </c>
      <c r="AA54" s="6">
        <f t="shared" si="3"/>
        <v>49</v>
      </c>
    </row>
    <row r="55" spans="1:27" x14ac:dyDescent="0.25">
      <c r="A55" t="s">
        <v>27</v>
      </c>
      <c r="B55" t="s">
        <v>100</v>
      </c>
      <c r="C55" s="8">
        <v>8232.3348294258194</v>
      </c>
      <c r="D55" s="3">
        <v>30.341470709999999</v>
      </c>
      <c r="E55" s="3">
        <v>93</v>
      </c>
      <c r="F55" s="3">
        <v>242</v>
      </c>
      <c r="G55" s="3">
        <v>96</v>
      </c>
      <c r="H55" s="3">
        <v>54</v>
      </c>
      <c r="I55" s="3" t="s">
        <v>48</v>
      </c>
      <c r="J55" s="6" t="s">
        <v>48</v>
      </c>
      <c r="K55" s="3">
        <v>25</v>
      </c>
      <c r="L55" s="3">
        <v>3</v>
      </c>
      <c r="M55" s="3" t="s">
        <v>21</v>
      </c>
      <c r="N55" s="3">
        <v>1.0134865660000001</v>
      </c>
      <c r="O55" s="3" t="s">
        <v>32</v>
      </c>
      <c r="P55" s="3" t="s">
        <v>43</v>
      </c>
      <c r="Q55" s="3">
        <v>1</v>
      </c>
      <c r="R55" s="3">
        <v>631</v>
      </c>
      <c r="S55" s="3">
        <v>17</v>
      </c>
      <c r="T55" s="3">
        <v>83.344058989999994</v>
      </c>
      <c r="U55" s="3" t="s">
        <v>24</v>
      </c>
      <c r="V55" s="3">
        <v>1.4103475759999999</v>
      </c>
      <c r="W55" s="3" t="s">
        <v>33</v>
      </c>
      <c r="X55" s="3" t="s">
        <v>26</v>
      </c>
      <c r="Y55" s="7">
        <v>750.73784069999999</v>
      </c>
      <c r="Z55" s="5">
        <f t="shared" si="2"/>
        <v>666.380295144</v>
      </c>
      <c r="AA55" s="6">
        <f t="shared" si="3"/>
        <v>46</v>
      </c>
    </row>
    <row r="56" spans="1:27" x14ac:dyDescent="0.25">
      <c r="A56" t="s">
        <v>18</v>
      </c>
      <c r="B56" t="s">
        <v>101</v>
      </c>
      <c r="C56" s="8">
        <v>6088.0214799408504</v>
      </c>
      <c r="D56" s="3">
        <v>31.146243160000001</v>
      </c>
      <c r="E56" s="3">
        <v>11</v>
      </c>
      <c r="F56" s="3">
        <v>622</v>
      </c>
      <c r="G56" s="3">
        <v>33</v>
      </c>
      <c r="H56" s="3">
        <v>61</v>
      </c>
      <c r="I56" s="3" t="s">
        <v>20</v>
      </c>
      <c r="J56" s="6" t="s">
        <v>20</v>
      </c>
      <c r="K56" s="3">
        <v>22</v>
      </c>
      <c r="L56" s="3">
        <v>3</v>
      </c>
      <c r="M56" s="3" t="s">
        <v>21</v>
      </c>
      <c r="N56" s="3">
        <v>4.3051034709999998</v>
      </c>
      <c r="O56" s="3" t="s">
        <v>32</v>
      </c>
      <c r="P56" s="3" t="s">
        <v>38</v>
      </c>
      <c r="Q56" s="3">
        <v>26</v>
      </c>
      <c r="R56" s="3">
        <v>497</v>
      </c>
      <c r="S56" s="3">
        <v>29</v>
      </c>
      <c r="T56" s="3">
        <v>30.186023380000002</v>
      </c>
      <c r="U56" s="3" t="s">
        <v>57</v>
      </c>
      <c r="V56" s="3">
        <v>2.478771976</v>
      </c>
      <c r="W56" s="3" t="s">
        <v>25</v>
      </c>
      <c r="X56" s="3" t="s">
        <v>26</v>
      </c>
      <c r="Y56" s="7">
        <v>814.06999659999997</v>
      </c>
      <c r="Z56" s="5">
        <f t="shared" si="2"/>
        <v>779.57886974899998</v>
      </c>
      <c r="AA56" s="6">
        <f t="shared" si="3"/>
        <v>80</v>
      </c>
    </row>
    <row r="57" spans="1:27" x14ac:dyDescent="0.25">
      <c r="A57" t="s">
        <v>18</v>
      </c>
      <c r="B57" t="s">
        <v>102</v>
      </c>
      <c r="C57" s="8">
        <v>2925.6751703038099</v>
      </c>
      <c r="D57" s="3">
        <v>79.855058339999999</v>
      </c>
      <c r="E57" s="3">
        <v>16</v>
      </c>
      <c r="F57" s="3">
        <v>701</v>
      </c>
      <c r="G57" s="3">
        <v>97</v>
      </c>
      <c r="H57" s="3">
        <v>11</v>
      </c>
      <c r="I57" s="3" t="s">
        <v>48</v>
      </c>
      <c r="J57" s="6" t="s">
        <v>48</v>
      </c>
      <c r="K57" s="3">
        <v>11</v>
      </c>
      <c r="L57" s="3">
        <v>5</v>
      </c>
      <c r="M57" s="3" t="s">
        <v>30</v>
      </c>
      <c r="N57" s="3">
        <v>5.0143649549999996</v>
      </c>
      <c r="O57" s="3" t="s">
        <v>54</v>
      </c>
      <c r="P57" s="3" t="s">
        <v>43</v>
      </c>
      <c r="Q57" s="3">
        <v>27</v>
      </c>
      <c r="R57" s="3">
        <v>918</v>
      </c>
      <c r="S57" s="3">
        <v>5</v>
      </c>
      <c r="T57" s="3">
        <v>30.32354526</v>
      </c>
      <c r="U57" s="3" t="s">
        <v>39</v>
      </c>
      <c r="V57" s="3">
        <v>4.5489196590000001</v>
      </c>
      <c r="W57" s="3" t="s">
        <v>49</v>
      </c>
      <c r="X57" s="3" t="s">
        <v>26</v>
      </c>
      <c r="Y57" s="7">
        <v>323.01292799999999</v>
      </c>
      <c r="Z57" s="5">
        <f t="shared" si="2"/>
        <v>287.67501778499997</v>
      </c>
      <c r="AA57" s="6">
        <f t="shared" si="3"/>
        <v>48</v>
      </c>
    </row>
    <row r="58" spans="1:27" x14ac:dyDescent="0.25">
      <c r="A58" t="s">
        <v>27</v>
      </c>
      <c r="B58" t="s">
        <v>103</v>
      </c>
      <c r="C58" s="8">
        <v>4767.0204843441297</v>
      </c>
      <c r="D58" s="3">
        <v>20.986386039999999</v>
      </c>
      <c r="E58" s="3">
        <v>90</v>
      </c>
      <c r="F58" s="3">
        <v>93</v>
      </c>
      <c r="G58" s="3">
        <v>25</v>
      </c>
      <c r="H58" s="3">
        <v>83</v>
      </c>
      <c r="I58" s="3" t="s">
        <v>20</v>
      </c>
      <c r="J58" s="6" t="s">
        <v>20</v>
      </c>
      <c r="K58" s="3">
        <v>23</v>
      </c>
      <c r="L58" s="3">
        <v>5</v>
      </c>
      <c r="M58" s="3" t="s">
        <v>36</v>
      </c>
      <c r="N58" s="3">
        <v>1.774429714</v>
      </c>
      <c r="O58" s="3" t="s">
        <v>32</v>
      </c>
      <c r="P58" s="3" t="s">
        <v>23</v>
      </c>
      <c r="Q58" s="3">
        <v>24</v>
      </c>
      <c r="R58" s="3">
        <v>826</v>
      </c>
      <c r="S58" s="3">
        <v>28</v>
      </c>
      <c r="T58" s="3">
        <v>12.83628457</v>
      </c>
      <c r="U58" s="3" t="s">
        <v>57</v>
      </c>
      <c r="V58" s="3">
        <v>1.173755495</v>
      </c>
      <c r="W58" s="3" t="s">
        <v>33</v>
      </c>
      <c r="X58" s="3" t="s">
        <v>26</v>
      </c>
      <c r="Y58" s="7">
        <v>832.21080870000003</v>
      </c>
      <c r="Z58" s="5">
        <f t="shared" si="2"/>
        <v>817.60009441600005</v>
      </c>
      <c r="AA58" s="6">
        <f t="shared" si="3"/>
        <v>80</v>
      </c>
    </row>
    <row r="59" spans="1:27" x14ac:dyDescent="0.25">
      <c r="A59" t="s">
        <v>18</v>
      </c>
      <c r="B59" t="s">
        <v>104</v>
      </c>
      <c r="C59" s="8">
        <v>1605.8669003924001</v>
      </c>
      <c r="D59" s="3">
        <v>49.26320535</v>
      </c>
      <c r="E59" s="3">
        <v>65</v>
      </c>
      <c r="F59" s="3">
        <v>227</v>
      </c>
      <c r="G59" s="3">
        <v>5</v>
      </c>
      <c r="H59" s="3">
        <v>51</v>
      </c>
      <c r="I59" s="3" t="s">
        <v>154</v>
      </c>
      <c r="J59" s="6" t="s">
        <v>48</v>
      </c>
      <c r="K59" s="3">
        <v>18</v>
      </c>
      <c r="L59" s="3">
        <v>1</v>
      </c>
      <c r="M59" s="3" t="s">
        <v>21</v>
      </c>
      <c r="N59" s="3">
        <v>9.1605585349999998</v>
      </c>
      <c r="O59" s="3" t="s">
        <v>54</v>
      </c>
      <c r="P59" s="3" t="s">
        <v>43</v>
      </c>
      <c r="Q59" s="3">
        <v>21</v>
      </c>
      <c r="R59" s="3">
        <v>588</v>
      </c>
      <c r="S59" s="3">
        <v>25</v>
      </c>
      <c r="T59" s="3">
        <v>67.779622989999993</v>
      </c>
      <c r="U59" s="3" t="s">
        <v>24</v>
      </c>
      <c r="V59" s="3">
        <v>2.5111748299999999</v>
      </c>
      <c r="W59" s="3" t="s">
        <v>40</v>
      </c>
      <c r="X59" s="3" t="s">
        <v>41</v>
      </c>
      <c r="Y59" s="7">
        <v>482.19123860000002</v>
      </c>
      <c r="Z59" s="5">
        <f t="shared" si="2"/>
        <v>405.25105707500006</v>
      </c>
      <c r="AA59" s="6">
        <f t="shared" si="3"/>
        <v>65</v>
      </c>
    </row>
    <row r="60" spans="1:27" x14ac:dyDescent="0.25">
      <c r="A60" t="s">
        <v>27</v>
      </c>
      <c r="B60" t="s">
        <v>105</v>
      </c>
      <c r="C60" s="8">
        <v>2021.1498103371</v>
      </c>
      <c r="D60" s="3">
        <v>59.841561380000002</v>
      </c>
      <c r="E60" s="3">
        <v>81</v>
      </c>
      <c r="F60" s="3">
        <v>896</v>
      </c>
      <c r="G60" s="3">
        <v>10</v>
      </c>
      <c r="H60" s="3">
        <v>44</v>
      </c>
      <c r="I60" s="3" t="s">
        <v>20</v>
      </c>
      <c r="J60" s="6" t="s">
        <v>20</v>
      </c>
      <c r="K60" s="3">
        <v>5</v>
      </c>
      <c r="L60" s="3">
        <v>7</v>
      </c>
      <c r="M60" s="3" t="s">
        <v>30</v>
      </c>
      <c r="N60" s="3">
        <v>4.9384385650000002</v>
      </c>
      <c r="O60" s="3" t="s">
        <v>22</v>
      </c>
      <c r="P60" s="3" t="s">
        <v>43</v>
      </c>
      <c r="Q60" s="3">
        <v>18</v>
      </c>
      <c r="R60" s="3">
        <v>396</v>
      </c>
      <c r="S60" s="3">
        <v>7</v>
      </c>
      <c r="T60" s="3">
        <v>65.047415090000001</v>
      </c>
      <c r="U60" s="3" t="s">
        <v>39</v>
      </c>
      <c r="V60" s="3">
        <v>1.7303747199999999</v>
      </c>
      <c r="W60" s="3" t="s">
        <v>25</v>
      </c>
      <c r="X60" s="3" t="s">
        <v>26</v>
      </c>
      <c r="Y60" s="7">
        <v>110.3643352</v>
      </c>
      <c r="Z60" s="5">
        <f t="shared" si="2"/>
        <v>40.378481545</v>
      </c>
      <c r="AA60" s="6">
        <f t="shared" si="3"/>
        <v>37</v>
      </c>
    </row>
    <row r="61" spans="1:27" x14ac:dyDescent="0.25">
      <c r="A61" t="s">
        <v>50</v>
      </c>
      <c r="B61" t="s">
        <v>106</v>
      </c>
      <c r="C61" s="8">
        <v>1061.6185230132801</v>
      </c>
      <c r="D61" s="3">
        <v>63.828398350000001</v>
      </c>
      <c r="E61" s="3">
        <v>30</v>
      </c>
      <c r="F61" s="3">
        <v>484</v>
      </c>
      <c r="G61" s="3">
        <v>100</v>
      </c>
      <c r="H61" s="3">
        <v>26</v>
      </c>
      <c r="I61" s="3" t="s">
        <v>20</v>
      </c>
      <c r="J61" s="6" t="s">
        <v>20</v>
      </c>
      <c r="K61" s="3">
        <v>16</v>
      </c>
      <c r="L61" s="3">
        <v>7</v>
      </c>
      <c r="M61" s="3" t="s">
        <v>21</v>
      </c>
      <c r="N61" s="3">
        <v>7.2937225970000004</v>
      </c>
      <c r="O61" s="3" t="s">
        <v>32</v>
      </c>
      <c r="P61" s="3" t="s">
        <v>38</v>
      </c>
      <c r="Q61" s="3">
        <v>11</v>
      </c>
      <c r="R61" s="3">
        <v>176</v>
      </c>
      <c r="S61" s="3">
        <v>4</v>
      </c>
      <c r="T61" s="3">
        <v>1.900762244</v>
      </c>
      <c r="U61" s="3" t="s">
        <v>39</v>
      </c>
      <c r="V61" s="3">
        <v>0.447194015</v>
      </c>
      <c r="W61" s="3" t="s">
        <v>33</v>
      </c>
      <c r="X61" s="3" t="s">
        <v>41</v>
      </c>
      <c r="Y61" s="7">
        <v>312.57427360000003</v>
      </c>
      <c r="Z61" s="5">
        <f t="shared" si="2"/>
        <v>303.37978875900001</v>
      </c>
      <c r="AA61" s="6">
        <f t="shared" si="3"/>
        <v>38</v>
      </c>
    </row>
    <row r="62" spans="1:27" x14ac:dyDescent="0.25">
      <c r="A62" t="s">
        <v>27</v>
      </c>
      <c r="B62" t="s">
        <v>107</v>
      </c>
      <c r="C62" s="8">
        <v>8864.0843495864301</v>
      </c>
      <c r="D62" s="3">
        <v>17.02802792</v>
      </c>
      <c r="E62" s="3">
        <v>16</v>
      </c>
      <c r="F62" s="3">
        <v>380</v>
      </c>
      <c r="G62" s="3">
        <v>41</v>
      </c>
      <c r="H62" s="3">
        <v>72</v>
      </c>
      <c r="I62" s="3" t="s">
        <v>29</v>
      </c>
      <c r="J62" s="6" t="s">
        <v>29</v>
      </c>
      <c r="K62" s="3">
        <v>27</v>
      </c>
      <c r="L62" s="3">
        <v>8</v>
      </c>
      <c r="M62" s="3" t="s">
        <v>36</v>
      </c>
      <c r="N62" s="3">
        <v>4.3813681579999999</v>
      </c>
      <c r="O62" s="3" t="s">
        <v>45</v>
      </c>
      <c r="P62" s="3" t="s">
        <v>23</v>
      </c>
      <c r="Q62" s="3">
        <v>29</v>
      </c>
      <c r="R62" s="3">
        <v>929</v>
      </c>
      <c r="S62" s="3">
        <v>24</v>
      </c>
      <c r="T62" s="3">
        <v>87.213057820000003</v>
      </c>
      <c r="U62" s="3" t="s">
        <v>39</v>
      </c>
      <c r="V62" s="3">
        <v>2.8530906169999999</v>
      </c>
      <c r="W62" s="3" t="s">
        <v>40</v>
      </c>
      <c r="X62" s="3" t="s">
        <v>41</v>
      </c>
      <c r="Y62" s="7">
        <v>430.16909700000002</v>
      </c>
      <c r="Z62" s="5">
        <f t="shared" si="2"/>
        <v>338.57467102200002</v>
      </c>
      <c r="AA62" s="6">
        <f t="shared" si="3"/>
        <v>88</v>
      </c>
    </row>
    <row r="63" spans="1:27" x14ac:dyDescent="0.25">
      <c r="A63" t="s">
        <v>18</v>
      </c>
      <c r="B63" t="s">
        <v>108</v>
      </c>
      <c r="C63" s="8">
        <v>6885.5893508962499</v>
      </c>
      <c r="D63" s="3">
        <v>52.028749900000001</v>
      </c>
      <c r="E63" s="3">
        <v>23</v>
      </c>
      <c r="F63" s="3">
        <v>117</v>
      </c>
      <c r="G63" s="3">
        <v>32</v>
      </c>
      <c r="H63" s="3">
        <v>36</v>
      </c>
      <c r="I63" s="3" t="s">
        <v>154</v>
      </c>
      <c r="J63" s="6" t="s">
        <v>48</v>
      </c>
      <c r="K63" s="3">
        <v>23</v>
      </c>
      <c r="L63" s="3">
        <v>7</v>
      </c>
      <c r="M63" s="3" t="s">
        <v>36</v>
      </c>
      <c r="N63" s="3">
        <v>9.0303404230000002</v>
      </c>
      <c r="O63" s="3" t="s">
        <v>45</v>
      </c>
      <c r="P63" s="3" t="s">
        <v>38</v>
      </c>
      <c r="Q63" s="3">
        <v>14</v>
      </c>
      <c r="R63" s="3">
        <v>480</v>
      </c>
      <c r="S63" s="3">
        <v>12</v>
      </c>
      <c r="T63" s="3">
        <v>78.702393970000003</v>
      </c>
      <c r="U63" s="3" t="s">
        <v>39</v>
      </c>
      <c r="V63" s="3">
        <v>4.3674705380000001</v>
      </c>
      <c r="W63" s="3" t="s">
        <v>33</v>
      </c>
      <c r="X63" s="3" t="s">
        <v>41</v>
      </c>
      <c r="Y63" s="7">
        <v>164.3665282</v>
      </c>
      <c r="Z63" s="5">
        <f t="shared" si="2"/>
        <v>76.633793807000004</v>
      </c>
      <c r="AA63" s="6">
        <f t="shared" si="3"/>
        <v>56</v>
      </c>
    </row>
    <row r="64" spans="1:27" x14ac:dyDescent="0.25">
      <c r="A64" t="s">
        <v>50</v>
      </c>
      <c r="B64" t="s">
        <v>109</v>
      </c>
      <c r="C64" s="8">
        <v>3899.7468337292198</v>
      </c>
      <c r="D64" s="3">
        <v>72.796353960000005</v>
      </c>
      <c r="E64" s="3">
        <v>89</v>
      </c>
      <c r="F64" s="3">
        <v>270</v>
      </c>
      <c r="G64" s="3">
        <v>86</v>
      </c>
      <c r="H64" s="3">
        <v>40</v>
      </c>
      <c r="I64" s="3" t="s">
        <v>154</v>
      </c>
      <c r="J64" s="6" t="s">
        <v>29</v>
      </c>
      <c r="K64" s="3">
        <v>2</v>
      </c>
      <c r="L64" s="3">
        <v>7</v>
      </c>
      <c r="M64" s="3" t="s">
        <v>36</v>
      </c>
      <c r="N64" s="3">
        <v>7.291701389</v>
      </c>
      <c r="O64" s="3" t="s">
        <v>54</v>
      </c>
      <c r="P64" s="3" t="s">
        <v>23</v>
      </c>
      <c r="Q64" s="3">
        <v>13</v>
      </c>
      <c r="R64" s="3">
        <v>751</v>
      </c>
      <c r="S64" s="3">
        <v>14</v>
      </c>
      <c r="T64" s="3">
        <v>21.048642730000001</v>
      </c>
      <c r="U64" s="3" t="s">
        <v>57</v>
      </c>
      <c r="V64" s="3">
        <v>1.8740014039999999</v>
      </c>
      <c r="W64" s="3" t="s">
        <v>49</v>
      </c>
      <c r="X64" s="3" t="s">
        <v>34</v>
      </c>
      <c r="Y64" s="7">
        <v>320.84651580000002</v>
      </c>
      <c r="Z64" s="5">
        <f t="shared" si="2"/>
        <v>292.50617168100001</v>
      </c>
      <c r="AA64" s="6">
        <f t="shared" si="3"/>
        <v>36</v>
      </c>
    </row>
    <row r="65" spans="1:27" x14ac:dyDescent="0.25">
      <c r="A65" t="s">
        <v>27</v>
      </c>
      <c r="B65" t="s">
        <v>110</v>
      </c>
      <c r="C65" s="8">
        <v>4256.9491408502199</v>
      </c>
      <c r="D65" s="3">
        <v>13.01737679</v>
      </c>
      <c r="E65" s="3">
        <v>55</v>
      </c>
      <c r="F65" s="3">
        <v>246</v>
      </c>
      <c r="G65" s="3">
        <v>54</v>
      </c>
      <c r="H65" s="3">
        <v>10</v>
      </c>
      <c r="I65" s="3" t="s">
        <v>20</v>
      </c>
      <c r="J65" s="6" t="s">
        <v>20</v>
      </c>
      <c r="K65" s="3">
        <v>19</v>
      </c>
      <c r="L65" s="3">
        <v>4</v>
      </c>
      <c r="M65" s="3" t="s">
        <v>30</v>
      </c>
      <c r="N65" s="3">
        <v>2.4579335279999999</v>
      </c>
      <c r="O65" s="3" t="s">
        <v>22</v>
      </c>
      <c r="P65" s="3" t="s">
        <v>46</v>
      </c>
      <c r="Q65" s="3">
        <v>18</v>
      </c>
      <c r="R65" s="3">
        <v>736</v>
      </c>
      <c r="S65" s="3">
        <v>10</v>
      </c>
      <c r="T65" s="3">
        <v>20.075003980000002</v>
      </c>
      <c r="U65" s="3" t="s">
        <v>24</v>
      </c>
      <c r="V65" s="3">
        <v>3.6328432899999998</v>
      </c>
      <c r="W65" s="3" t="s">
        <v>49</v>
      </c>
      <c r="X65" s="3" t="s">
        <v>41</v>
      </c>
      <c r="Y65" s="7">
        <v>687.28617789999998</v>
      </c>
      <c r="Z65" s="5">
        <f t="shared" si="2"/>
        <v>664.75324039199995</v>
      </c>
      <c r="AA65" s="6">
        <f t="shared" si="3"/>
        <v>51</v>
      </c>
    </row>
    <row r="66" spans="1:27" x14ac:dyDescent="0.25">
      <c r="A66" t="s">
        <v>27</v>
      </c>
      <c r="B66" t="s">
        <v>111</v>
      </c>
      <c r="C66" s="8">
        <v>8458.7308783671706</v>
      </c>
      <c r="D66" s="3">
        <v>89.634095610000003</v>
      </c>
      <c r="E66" s="3">
        <v>11</v>
      </c>
      <c r="F66" s="3">
        <v>134</v>
      </c>
      <c r="G66" s="3">
        <v>73</v>
      </c>
      <c r="H66" s="3">
        <v>75</v>
      </c>
      <c r="I66" s="3" t="s">
        <v>29</v>
      </c>
      <c r="J66" s="6" t="s">
        <v>29</v>
      </c>
      <c r="K66" s="3">
        <v>27</v>
      </c>
      <c r="L66" s="3">
        <v>6</v>
      </c>
      <c r="M66" s="3" t="s">
        <v>36</v>
      </c>
      <c r="N66" s="3">
        <v>4.5853534680000001</v>
      </c>
      <c r="O66" s="3" t="s">
        <v>32</v>
      </c>
      <c r="P66" s="3" t="s">
        <v>43</v>
      </c>
      <c r="Q66" s="3">
        <v>17</v>
      </c>
      <c r="R66" s="3">
        <v>328</v>
      </c>
      <c r="S66" s="3">
        <v>6</v>
      </c>
      <c r="T66" s="3">
        <v>8.6930424259999999</v>
      </c>
      <c r="U66" s="3" t="s">
        <v>39</v>
      </c>
      <c r="V66" s="3">
        <v>0.15948631499999999</v>
      </c>
      <c r="W66" s="3" t="s">
        <v>33</v>
      </c>
      <c r="X66" s="3" t="s">
        <v>34</v>
      </c>
      <c r="Y66" s="7">
        <v>771.22508470000002</v>
      </c>
      <c r="Z66" s="5">
        <f t="shared" ref="Z66:Z97" si="4">Y66-(T66+N66)</f>
        <v>757.946688806</v>
      </c>
      <c r="AA66" s="6">
        <f t="shared" ref="AA66:AA101" si="5">S66+Q66+L66+K66</f>
        <v>56</v>
      </c>
    </row>
    <row r="67" spans="1:27" x14ac:dyDescent="0.25">
      <c r="A67" t="s">
        <v>27</v>
      </c>
      <c r="B67" t="s">
        <v>112</v>
      </c>
      <c r="C67" s="8">
        <v>8354.5796864819895</v>
      </c>
      <c r="D67" s="3">
        <v>33.69771721</v>
      </c>
      <c r="E67" s="3">
        <v>72</v>
      </c>
      <c r="F67" s="3">
        <v>457</v>
      </c>
      <c r="G67" s="3">
        <v>57</v>
      </c>
      <c r="H67" s="3">
        <v>54</v>
      </c>
      <c r="I67" s="3" t="s">
        <v>48</v>
      </c>
      <c r="J67" s="6" t="s">
        <v>48</v>
      </c>
      <c r="K67" s="3">
        <v>24</v>
      </c>
      <c r="L67" s="3">
        <v>8</v>
      </c>
      <c r="M67" s="3" t="s">
        <v>36</v>
      </c>
      <c r="N67" s="3">
        <v>6.5805413479999997</v>
      </c>
      <c r="O67" s="3" t="s">
        <v>37</v>
      </c>
      <c r="P67" s="3" t="s">
        <v>38</v>
      </c>
      <c r="Q67" s="3">
        <v>16</v>
      </c>
      <c r="R67" s="3">
        <v>358</v>
      </c>
      <c r="S67" s="3">
        <v>21</v>
      </c>
      <c r="T67" s="3">
        <v>1.5972227429999999</v>
      </c>
      <c r="U67" s="3" t="s">
        <v>39</v>
      </c>
      <c r="V67" s="3">
        <v>4.9110959550000004</v>
      </c>
      <c r="W67" s="3" t="s">
        <v>40</v>
      </c>
      <c r="X67" s="3" t="s">
        <v>34</v>
      </c>
      <c r="Y67" s="7">
        <v>555.85910369999999</v>
      </c>
      <c r="Z67" s="5">
        <f t="shared" si="4"/>
        <v>547.68133960900002</v>
      </c>
      <c r="AA67" s="6">
        <f t="shared" si="5"/>
        <v>69</v>
      </c>
    </row>
    <row r="68" spans="1:27" x14ac:dyDescent="0.25">
      <c r="A68" t="s">
        <v>27</v>
      </c>
      <c r="B68" t="s">
        <v>113</v>
      </c>
      <c r="C68" s="8">
        <v>8367.7216180201503</v>
      </c>
      <c r="D68" s="3">
        <v>26.03486977</v>
      </c>
      <c r="E68" s="3">
        <v>52</v>
      </c>
      <c r="F68" s="3">
        <v>704</v>
      </c>
      <c r="G68" s="3">
        <v>13</v>
      </c>
      <c r="H68" s="3">
        <v>19</v>
      </c>
      <c r="I68" s="3" t="s">
        <v>29</v>
      </c>
      <c r="J68" s="6" t="s">
        <v>29</v>
      </c>
      <c r="K68" s="3">
        <v>17</v>
      </c>
      <c r="L68" s="3">
        <v>8</v>
      </c>
      <c r="M68" s="3" t="s">
        <v>30</v>
      </c>
      <c r="N68" s="3">
        <v>2.216142729</v>
      </c>
      <c r="O68" s="3" t="s">
        <v>37</v>
      </c>
      <c r="P68" s="3" t="s">
        <v>38</v>
      </c>
      <c r="Q68" s="3">
        <v>24</v>
      </c>
      <c r="R68" s="3">
        <v>867</v>
      </c>
      <c r="S68" s="3">
        <v>28</v>
      </c>
      <c r="T68" s="3">
        <v>42.084436740000001</v>
      </c>
      <c r="U68" s="3" t="s">
        <v>39</v>
      </c>
      <c r="V68" s="3">
        <v>3.4480632880000002</v>
      </c>
      <c r="W68" s="3" t="s">
        <v>25</v>
      </c>
      <c r="X68" s="3" t="s">
        <v>41</v>
      </c>
      <c r="Y68" s="7">
        <v>393.84334860000001</v>
      </c>
      <c r="Z68" s="5">
        <f t="shared" si="4"/>
        <v>349.542769131</v>
      </c>
      <c r="AA68" s="6">
        <f t="shared" si="5"/>
        <v>77</v>
      </c>
    </row>
    <row r="69" spans="1:27" x14ac:dyDescent="0.25">
      <c r="A69" t="s">
        <v>27</v>
      </c>
      <c r="B69" t="s">
        <v>114</v>
      </c>
      <c r="C69" s="8">
        <v>9473.7980325083299</v>
      </c>
      <c r="D69" s="3">
        <v>87.755432350000007</v>
      </c>
      <c r="E69" s="3">
        <v>16</v>
      </c>
      <c r="F69" s="3">
        <v>513</v>
      </c>
      <c r="G69" s="3">
        <v>12</v>
      </c>
      <c r="H69" s="3">
        <v>71</v>
      </c>
      <c r="I69" s="3" t="s">
        <v>154</v>
      </c>
      <c r="J69" s="6" t="s">
        <v>29</v>
      </c>
      <c r="K69" s="3">
        <v>9</v>
      </c>
      <c r="L69" s="3">
        <v>9</v>
      </c>
      <c r="M69" s="3" t="s">
        <v>36</v>
      </c>
      <c r="N69" s="3">
        <v>9.1478115449999997</v>
      </c>
      <c r="O69" s="3" t="s">
        <v>32</v>
      </c>
      <c r="P69" s="3" t="s">
        <v>23</v>
      </c>
      <c r="Q69" s="3">
        <v>10</v>
      </c>
      <c r="R69" s="3">
        <v>198</v>
      </c>
      <c r="S69" s="3">
        <v>11</v>
      </c>
      <c r="T69" s="3">
        <v>7.057876147</v>
      </c>
      <c r="U69" s="3" t="s">
        <v>57</v>
      </c>
      <c r="V69" s="3">
        <v>0.13195544400000001</v>
      </c>
      <c r="W69" s="3" t="s">
        <v>49</v>
      </c>
      <c r="X69" s="3" t="s">
        <v>34</v>
      </c>
      <c r="Y69" s="7">
        <v>169.27180139999999</v>
      </c>
      <c r="Z69" s="5">
        <f t="shared" si="4"/>
        <v>153.06611370799999</v>
      </c>
      <c r="AA69" s="6">
        <f t="shared" si="5"/>
        <v>39</v>
      </c>
    </row>
    <row r="70" spans="1:27" x14ac:dyDescent="0.25">
      <c r="A70" t="s">
        <v>18</v>
      </c>
      <c r="B70" t="s">
        <v>115</v>
      </c>
      <c r="C70" s="8">
        <v>3550.21843278099</v>
      </c>
      <c r="D70" s="3">
        <v>37.931812379999997</v>
      </c>
      <c r="E70" s="3">
        <v>29</v>
      </c>
      <c r="F70" s="3">
        <v>163</v>
      </c>
      <c r="G70" s="3">
        <v>0</v>
      </c>
      <c r="H70" s="3">
        <v>58</v>
      </c>
      <c r="I70" s="3" t="s">
        <v>20</v>
      </c>
      <c r="J70" s="6" t="s">
        <v>20</v>
      </c>
      <c r="K70" s="3">
        <v>8</v>
      </c>
      <c r="L70" s="3">
        <v>8</v>
      </c>
      <c r="M70" s="3" t="s">
        <v>21</v>
      </c>
      <c r="N70" s="3">
        <v>1.194251865</v>
      </c>
      <c r="O70" s="3" t="s">
        <v>54</v>
      </c>
      <c r="P70" s="3" t="s">
        <v>46</v>
      </c>
      <c r="Q70" s="3">
        <v>2</v>
      </c>
      <c r="R70" s="3">
        <v>375</v>
      </c>
      <c r="S70" s="3">
        <v>18</v>
      </c>
      <c r="T70" s="3">
        <v>97.11358156</v>
      </c>
      <c r="U70" s="3" t="s">
        <v>39</v>
      </c>
      <c r="V70" s="3">
        <v>1.9834678720000001</v>
      </c>
      <c r="W70" s="3" t="s">
        <v>40</v>
      </c>
      <c r="X70" s="3" t="s">
        <v>41</v>
      </c>
      <c r="Y70" s="7">
        <v>299.70630310000001</v>
      </c>
      <c r="Z70" s="5">
        <f t="shared" si="4"/>
        <v>201.398469675</v>
      </c>
      <c r="AA70" s="6">
        <f t="shared" si="5"/>
        <v>36</v>
      </c>
    </row>
    <row r="71" spans="1:27" x14ac:dyDescent="0.25">
      <c r="A71" t="s">
        <v>27</v>
      </c>
      <c r="B71" t="s">
        <v>116</v>
      </c>
      <c r="C71" s="8">
        <v>1752.3810874841199</v>
      </c>
      <c r="D71" s="3">
        <v>54.865528519999998</v>
      </c>
      <c r="E71" s="3">
        <v>62</v>
      </c>
      <c r="F71" s="3">
        <v>511</v>
      </c>
      <c r="G71" s="3">
        <v>95</v>
      </c>
      <c r="H71" s="3">
        <v>27</v>
      </c>
      <c r="I71" s="3" t="s">
        <v>20</v>
      </c>
      <c r="J71" s="6" t="s">
        <v>20</v>
      </c>
      <c r="K71" s="3">
        <v>1</v>
      </c>
      <c r="L71" s="3">
        <v>3</v>
      </c>
      <c r="M71" s="3" t="s">
        <v>21</v>
      </c>
      <c r="N71" s="3">
        <v>9.7052867900000006</v>
      </c>
      <c r="O71" s="3" t="s">
        <v>45</v>
      </c>
      <c r="P71" s="3" t="s">
        <v>38</v>
      </c>
      <c r="Q71" s="3">
        <v>9</v>
      </c>
      <c r="R71" s="3">
        <v>862</v>
      </c>
      <c r="S71" s="3">
        <v>7</v>
      </c>
      <c r="T71" s="3">
        <v>77.62776581</v>
      </c>
      <c r="U71" s="3" t="s">
        <v>24</v>
      </c>
      <c r="V71" s="3">
        <v>1.3623879889999999</v>
      </c>
      <c r="W71" s="3" t="s">
        <v>33</v>
      </c>
      <c r="X71" s="3" t="s">
        <v>41</v>
      </c>
      <c r="Y71" s="7">
        <v>207.66320619999999</v>
      </c>
      <c r="Z71" s="5">
        <f t="shared" si="4"/>
        <v>120.33015359999999</v>
      </c>
      <c r="AA71" s="6">
        <f t="shared" si="5"/>
        <v>20</v>
      </c>
    </row>
    <row r="72" spans="1:27" x14ac:dyDescent="0.25">
      <c r="A72" t="s">
        <v>18</v>
      </c>
      <c r="B72" t="s">
        <v>117</v>
      </c>
      <c r="C72" s="8">
        <v>7014.8879872033804</v>
      </c>
      <c r="D72" s="3">
        <v>47.914541819999997</v>
      </c>
      <c r="E72" s="3">
        <v>90</v>
      </c>
      <c r="F72" s="3">
        <v>32</v>
      </c>
      <c r="G72" s="3">
        <v>10</v>
      </c>
      <c r="H72" s="3">
        <v>22</v>
      </c>
      <c r="I72" s="3" t="s">
        <v>29</v>
      </c>
      <c r="J72" s="6" t="s">
        <v>29</v>
      </c>
      <c r="K72" s="3">
        <v>12</v>
      </c>
      <c r="L72" s="3">
        <v>4</v>
      </c>
      <c r="M72" s="3" t="s">
        <v>21</v>
      </c>
      <c r="N72" s="3">
        <v>6.3157177549999997</v>
      </c>
      <c r="O72" s="3" t="s">
        <v>32</v>
      </c>
      <c r="P72" s="3" t="s">
        <v>46</v>
      </c>
      <c r="Q72" s="3">
        <v>22</v>
      </c>
      <c r="R72" s="3">
        <v>775</v>
      </c>
      <c r="S72" s="3">
        <v>16</v>
      </c>
      <c r="T72" s="3">
        <v>11.44078182</v>
      </c>
      <c r="U72" s="3" t="s">
        <v>57</v>
      </c>
      <c r="V72" s="3">
        <v>1.8305755990000001</v>
      </c>
      <c r="W72" s="3" t="s">
        <v>25</v>
      </c>
      <c r="X72" s="3" t="s">
        <v>34</v>
      </c>
      <c r="Y72" s="7">
        <v>183.27289870000001</v>
      </c>
      <c r="Z72" s="5">
        <f t="shared" si="4"/>
        <v>165.51639912500002</v>
      </c>
      <c r="AA72" s="6">
        <f t="shared" si="5"/>
        <v>54</v>
      </c>
    </row>
    <row r="73" spans="1:27" x14ac:dyDescent="0.25">
      <c r="A73" t="s">
        <v>50</v>
      </c>
      <c r="B73" t="s">
        <v>118</v>
      </c>
      <c r="C73" s="8">
        <v>8180.3370854254399</v>
      </c>
      <c r="D73" s="3">
        <v>6.3815331630000003</v>
      </c>
      <c r="E73" s="3">
        <v>14</v>
      </c>
      <c r="F73" s="3">
        <v>637</v>
      </c>
      <c r="G73" s="3">
        <v>76</v>
      </c>
      <c r="H73" s="3">
        <v>26</v>
      </c>
      <c r="I73" s="3" t="s">
        <v>29</v>
      </c>
      <c r="J73" s="6" t="s">
        <v>29</v>
      </c>
      <c r="K73" s="3">
        <v>2</v>
      </c>
      <c r="L73" s="3">
        <v>6</v>
      </c>
      <c r="M73" s="3" t="s">
        <v>30</v>
      </c>
      <c r="N73" s="3">
        <v>9.2281903169999993</v>
      </c>
      <c r="O73" s="3" t="s">
        <v>54</v>
      </c>
      <c r="P73" s="3" t="s">
        <v>46</v>
      </c>
      <c r="Q73" s="3">
        <v>2</v>
      </c>
      <c r="R73" s="3">
        <v>258</v>
      </c>
      <c r="S73" s="3">
        <v>10</v>
      </c>
      <c r="T73" s="3">
        <v>30.661677480000002</v>
      </c>
      <c r="U73" s="3" t="s">
        <v>24</v>
      </c>
      <c r="V73" s="3">
        <v>2.078750608</v>
      </c>
      <c r="W73" s="3" t="s">
        <v>25</v>
      </c>
      <c r="X73" s="3" t="s">
        <v>41</v>
      </c>
      <c r="Y73" s="7">
        <v>405.16706790000001</v>
      </c>
      <c r="Z73" s="5">
        <f t="shared" si="4"/>
        <v>365.27720010299998</v>
      </c>
      <c r="AA73" s="6">
        <f t="shared" si="5"/>
        <v>20</v>
      </c>
    </row>
    <row r="74" spans="1:27" x14ac:dyDescent="0.25">
      <c r="A74" t="s">
        <v>50</v>
      </c>
      <c r="B74" t="s">
        <v>119</v>
      </c>
      <c r="C74" s="8">
        <v>2633.1219813122498</v>
      </c>
      <c r="D74" s="3">
        <v>90.204427519999996</v>
      </c>
      <c r="E74" s="3">
        <v>88</v>
      </c>
      <c r="F74" s="3">
        <v>478</v>
      </c>
      <c r="G74" s="3">
        <v>57</v>
      </c>
      <c r="H74" s="3">
        <v>77</v>
      </c>
      <c r="I74" s="3" t="s">
        <v>20</v>
      </c>
      <c r="J74" s="6" t="s">
        <v>20</v>
      </c>
      <c r="K74" s="3">
        <v>29</v>
      </c>
      <c r="L74" s="3">
        <v>9</v>
      </c>
      <c r="M74" s="3" t="s">
        <v>30</v>
      </c>
      <c r="N74" s="3">
        <v>6.5996141599999998</v>
      </c>
      <c r="O74" s="3" t="s">
        <v>32</v>
      </c>
      <c r="P74" s="3" t="s">
        <v>46</v>
      </c>
      <c r="Q74" s="3">
        <v>21</v>
      </c>
      <c r="R74" s="3">
        <v>152</v>
      </c>
      <c r="S74" s="3">
        <v>11</v>
      </c>
      <c r="T74" s="3">
        <v>55.760492900000003</v>
      </c>
      <c r="U74" s="3" t="s">
        <v>24</v>
      </c>
      <c r="V74" s="3">
        <v>3.2133296069999999</v>
      </c>
      <c r="W74" s="3" t="s">
        <v>40</v>
      </c>
      <c r="X74" s="3" t="s">
        <v>26</v>
      </c>
      <c r="Y74" s="7">
        <v>677.94456979999995</v>
      </c>
      <c r="Z74" s="5">
        <f t="shared" si="4"/>
        <v>615.58446273999994</v>
      </c>
      <c r="AA74" s="6">
        <f t="shared" si="5"/>
        <v>70</v>
      </c>
    </row>
    <row r="75" spans="1:27" x14ac:dyDescent="0.25">
      <c r="A75" t="s">
        <v>50</v>
      </c>
      <c r="B75" t="s">
        <v>120</v>
      </c>
      <c r="C75" s="8">
        <v>7910.8869161406801</v>
      </c>
      <c r="D75" s="3">
        <v>83.851017679999998</v>
      </c>
      <c r="E75" s="3">
        <v>41</v>
      </c>
      <c r="F75" s="3">
        <v>375</v>
      </c>
      <c r="G75" s="3">
        <v>17</v>
      </c>
      <c r="H75" s="3">
        <v>66</v>
      </c>
      <c r="I75" s="3" t="s">
        <v>48</v>
      </c>
      <c r="J75" s="6" t="s">
        <v>48</v>
      </c>
      <c r="K75" s="3">
        <v>25</v>
      </c>
      <c r="L75" s="3">
        <v>5</v>
      </c>
      <c r="M75" s="3" t="s">
        <v>21</v>
      </c>
      <c r="N75" s="3">
        <v>1.512936837</v>
      </c>
      <c r="O75" s="3" t="s">
        <v>45</v>
      </c>
      <c r="P75" s="3" t="s">
        <v>55</v>
      </c>
      <c r="Q75" s="3">
        <v>13</v>
      </c>
      <c r="R75" s="3">
        <v>444</v>
      </c>
      <c r="S75" s="3">
        <v>4</v>
      </c>
      <c r="T75" s="3">
        <v>46.870238800000003</v>
      </c>
      <c r="U75" s="3" t="s">
        <v>39</v>
      </c>
      <c r="V75" s="3">
        <v>4.6205460650000001</v>
      </c>
      <c r="W75" s="3" t="s">
        <v>25</v>
      </c>
      <c r="X75" s="3" t="s">
        <v>41</v>
      </c>
      <c r="Y75" s="7">
        <v>866.47280009999997</v>
      </c>
      <c r="Z75" s="5">
        <f t="shared" si="4"/>
        <v>818.08962446299995</v>
      </c>
      <c r="AA75" s="6">
        <f t="shared" si="5"/>
        <v>47</v>
      </c>
    </row>
    <row r="76" spans="1:27" x14ac:dyDescent="0.25">
      <c r="A76" t="s">
        <v>18</v>
      </c>
      <c r="B76" t="s">
        <v>121</v>
      </c>
      <c r="C76" s="8">
        <v>5709.9452959692799</v>
      </c>
      <c r="D76" s="3">
        <v>3.1700114140000002</v>
      </c>
      <c r="E76" s="3">
        <v>64</v>
      </c>
      <c r="F76" s="3">
        <v>904</v>
      </c>
      <c r="G76" s="3">
        <v>41</v>
      </c>
      <c r="H76" s="3">
        <v>1</v>
      </c>
      <c r="I76" s="3" t="s">
        <v>29</v>
      </c>
      <c r="J76" s="6" t="s">
        <v>29</v>
      </c>
      <c r="K76" s="3">
        <v>6</v>
      </c>
      <c r="L76" s="3">
        <v>5</v>
      </c>
      <c r="M76" s="3" t="s">
        <v>30</v>
      </c>
      <c r="N76" s="3">
        <v>5.2376546499999996</v>
      </c>
      <c r="O76" s="3" t="s">
        <v>45</v>
      </c>
      <c r="P76" s="3" t="s">
        <v>43</v>
      </c>
      <c r="Q76" s="3">
        <v>1</v>
      </c>
      <c r="R76" s="3">
        <v>919</v>
      </c>
      <c r="S76" s="3">
        <v>9</v>
      </c>
      <c r="T76" s="3">
        <v>80.580852160000006</v>
      </c>
      <c r="U76" s="3" t="s">
        <v>39</v>
      </c>
      <c r="V76" s="3">
        <v>0.39661272400000003</v>
      </c>
      <c r="W76" s="3" t="s">
        <v>40</v>
      </c>
      <c r="X76" s="3" t="s">
        <v>41</v>
      </c>
      <c r="Y76" s="7">
        <v>341.55265680000002</v>
      </c>
      <c r="Z76" s="5">
        <f t="shared" si="4"/>
        <v>255.73414999000002</v>
      </c>
      <c r="AA76" s="6">
        <f t="shared" si="5"/>
        <v>21</v>
      </c>
    </row>
    <row r="77" spans="1:27" x14ac:dyDescent="0.25">
      <c r="A77" t="s">
        <v>27</v>
      </c>
      <c r="B77" t="s">
        <v>122</v>
      </c>
      <c r="C77" s="8">
        <v>1889.07358977933</v>
      </c>
      <c r="D77" s="3">
        <v>92.996884230000006</v>
      </c>
      <c r="E77" s="3">
        <v>29</v>
      </c>
      <c r="F77" s="3">
        <v>106</v>
      </c>
      <c r="G77" s="3">
        <v>16</v>
      </c>
      <c r="H77" s="3">
        <v>56</v>
      </c>
      <c r="I77" s="3" t="s">
        <v>20</v>
      </c>
      <c r="J77" s="6" t="s">
        <v>20</v>
      </c>
      <c r="K77" s="3">
        <v>20</v>
      </c>
      <c r="L77" s="3">
        <v>10</v>
      </c>
      <c r="M77" s="3" t="s">
        <v>36</v>
      </c>
      <c r="N77" s="3">
        <v>2.4738977609999999</v>
      </c>
      <c r="O77" s="3" t="s">
        <v>32</v>
      </c>
      <c r="P77" s="3" t="s">
        <v>55</v>
      </c>
      <c r="Q77" s="3">
        <v>25</v>
      </c>
      <c r="R77" s="3">
        <v>759</v>
      </c>
      <c r="S77" s="3">
        <v>11</v>
      </c>
      <c r="T77" s="3">
        <v>48.064782639999997</v>
      </c>
      <c r="U77" s="3" t="s">
        <v>57</v>
      </c>
      <c r="V77" s="3">
        <v>2.0300690889999999</v>
      </c>
      <c r="W77" s="3" t="s">
        <v>33</v>
      </c>
      <c r="X77" s="3" t="s">
        <v>34</v>
      </c>
      <c r="Y77" s="7">
        <v>873.12964799999997</v>
      </c>
      <c r="Z77" s="5">
        <f t="shared" si="4"/>
        <v>822.59096759900001</v>
      </c>
      <c r="AA77" s="6">
        <f t="shared" si="5"/>
        <v>66</v>
      </c>
    </row>
    <row r="78" spans="1:27" x14ac:dyDescent="0.25">
      <c r="A78" t="s">
        <v>18</v>
      </c>
      <c r="B78" t="s">
        <v>123</v>
      </c>
      <c r="C78" s="8">
        <v>5328.3759842977497</v>
      </c>
      <c r="D78" s="3">
        <v>69.108799550000001</v>
      </c>
      <c r="E78" s="3">
        <v>23</v>
      </c>
      <c r="F78" s="3">
        <v>241</v>
      </c>
      <c r="G78" s="3">
        <v>38</v>
      </c>
      <c r="H78" s="3">
        <v>22</v>
      </c>
      <c r="I78" s="3" t="s">
        <v>48</v>
      </c>
      <c r="J78" s="6" t="s">
        <v>48</v>
      </c>
      <c r="K78" s="3">
        <v>1</v>
      </c>
      <c r="L78" s="3">
        <v>10</v>
      </c>
      <c r="M78" s="3" t="s">
        <v>30</v>
      </c>
      <c r="N78" s="3">
        <v>7.0545383370000003</v>
      </c>
      <c r="O78" s="3" t="s">
        <v>54</v>
      </c>
      <c r="P78" s="3" t="s">
        <v>46</v>
      </c>
      <c r="Q78" s="3">
        <v>25</v>
      </c>
      <c r="R78" s="3">
        <v>985</v>
      </c>
      <c r="S78" s="3">
        <v>24</v>
      </c>
      <c r="T78" s="3">
        <v>64.323597800000002</v>
      </c>
      <c r="U78" s="3" t="s">
        <v>24</v>
      </c>
      <c r="V78" s="3">
        <v>2.1800374520000001</v>
      </c>
      <c r="W78" s="3" t="s">
        <v>40</v>
      </c>
      <c r="X78" s="3" t="s">
        <v>41</v>
      </c>
      <c r="Y78" s="7">
        <v>997.41345009999998</v>
      </c>
      <c r="Z78" s="5">
        <f t="shared" si="4"/>
        <v>926.03531396300002</v>
      </c>
      <c r="AA78" s="6">
        <f t="shared" si="5"/>
        <v>60</v>
      </c>
    </row>
    <row r="79" spans="1:27" x14ac:dyDescent="0.25">
      <c r="A79" t="s">
        <v>18</v>
      </c>
      <c r="B79" t="s">
        <v>124</v>
      </c>
      <c r="C79" s="8">
        <v>2483.7601775427902</v>
      </c>
      <c r="D79" s="3">
        <v>57.449742960000002</v>
      </c>
      <c r="E79" s="3">
        <v>14</v>
      </c>
      <c r="F79" s="3">
        <v>359</v>
      </c>
      <c r="G79" s="3">
        <v>96</v>
      </c>
      <c r="H79" s="3">
        <v>57</v>
      </c>
      <c r="I79" s="3" t="s">
        <v>154</v>
      </c>
      <c r="J79" s="6" t="s">
        <v>48</v>
      </c>
      <c r="K79" s="3">
        <v>28</v>
      </c>
      <c r="L79" s="3">
        <v>4</v>
      </c>
      <c r="M79" s="3" t="s">
        <v>21</v>
      </c>
      <c r="N79" s="3">
        <v>6.7809466260000004</v>
      </c>
      <c r="O79" s="3" t="s">
        <v>32</v>
      </c>
      <c r="P79" s="3" t="s">
        <v>38</v>
      </c>
      <c r="Q79" s="3">
        <v>26</v>
      </c>
      <c r="R79" s="3">
        <v>334</v>
      </c>
      <c r="S79" s="3">
        <v>5</v>
      </c>
      <c r="T79" s="3">
        <v>42.952444749999998</v>
      </c>
      <c r="U79" s="3" t="s">
        <v>57</v>
      </c>
      <c r="V79" s="3">
        <v>3.0551418180000001</v>
      </c>
      <c r="W79" s="3" t="s">
        <v>25</v>
      </c>
      <c r="X79" s="3" t="s">
        <v>26</v>
      </c>
      <c r="Y79" s="7">
        <v>852.5680989</v>
      </c>
      <c r="Z79" s="5">
        <f t="shared" si="4"/>
        <v>802.83470752400001</v>
      </c>
      <c r="AA79" s="6">
        <f t="shared" si="5"/>
        <v>63</v>
      </c>
    </row>
    <row r="80" spans="1:27" x14ac:dyDescent="0.25">
      <c r="A80" t="s">
        <v>18</v>
      </c>
      <c r="B80" t="s">
        <v>125</v>
      </c>
      <c r="C80" s="8">
        <v>1292.45841793775</v>
      </c>
      <c r="D80" s="3">
        <v>6.3068831760000004</v>
      </c>
      <c r="E80" s="3">
        <v>50</v>
      </c>
      <c r="F80" s="3">
        <v>946</v>
      </c>
      <c r="G80" s="3">
        <v>5</v>
      </c>
      <c r="H80" s="3">
        <v>51</v>
      </c>
      <c r="I80" s="3" t="s">
        <v>154</v>
      </c>
      <c r="J80" s="6" t="s">
        <v>48</v>
      </c>
      <c r="K80" s="3">
        <v>4</v>
      </c>
      <c r="L80" s="3">
        <v>5</v>
      </c>
      <c r="M80" s="3" t="s">
        <v>21</v>
      </c>
      <c r="N80" s="3">
        <v>8.4670497709999992</v>
      </c>
      <c r="O80" s="3" t="s">
        <v>37</v>
      </c>
      <c r="P80" s="3" t="s">
        <v>23</v>
      </c>
      <c r="Q80" s="3">
        <v>25</v>
      </c>
      <c r="R80" s="3">
        <v>858</v>
      </c>
      <c r="S80" s="3">
        <v>21</v>
      </c>
      <c r="T80" s="3">
        <v>71.126514720000003</v>
      </c>
      <c r="U80" s="3" t="s">
        <v>24</v>
      </c>
      <c r="V80" s="3">
        <v>4.0968813319999997</v>
      </c>
      <c r="W80" s="3" t="s">
        <v>49</v>
      </c>
      <c r="X80" s="3" t="s">
        <v>34</v>
      </c>
      <c r="Y80" s="7">
        <v>323.59220340000002</v>
      </c>
      <c r="Z80" s="5">
        <f t="shared" si="4"/>
        <v>243.99863890900002</v>
      </c>
      <c r="AA80" s="6">
        <f t="shared" si="5"/>
        <v>55</v>
      </c>
    </row>
    <row r="81" spans="1:27" x14ac:dyDescent="0.25">
      <c r="A81" t="s">
        <v>18</v>
      </c>
      <c r="B81" t="s">
        <v>126</v>
      </c>
      <c r="C81" s="8">
        <v>7888.7232684270803</v>
      </c>
      <c r="D81" s="3">
        <v>57.057031219999999</v>
      </c>
      <c r="E81" s="3">
        <v>56</v>
      </c>
      <c r="F81" s="3">
        <v>198</v>
      </c>
      <c r="G81" s="3">
        <v>31</v>
      </c>
      <c r="H81" s="3">
        <v>20</v>
      </c>
      <c r="I81" s="3" t="s">
        <v>20</v>
      </c>
      <c r="J81" s="6" t="s">
        <v>20</v>
      </c>
      <c r="K81" s="3">
        <v>25</v>
      </c>
      <c r="L81" s="3">
        <v>1</v>
      </c>
      <c r="M81" s="3" t="s">
        <v>21</v>
      </c>
      <c r="N81" s="3">
        <v>6.4963253639999996</v>
      </c>
      <c r="O81" s="3" t="s">
        <v>22</v>
      </c>
      <c r="P81" s="3" t="s">
        <v>46</v>
      </c>
      <c r="Q81" s="3">
        <v>5</v>
      </c>
      <c r="R81" s="3">
        <v>228</v>
      </c>
      <c r="S81" s="3">
        <v>12</v>
      </c>
      <c r="T81" s="3">
        <v>57.870902919999999</v>
      </c>
      <c r="U81" s="3" t="s">
        <v>24</v>
      </c>
      <c r="V81" s="3">
        <v>0.16587162699999999</v>
      </c>
      <c r="W81" s="3" t="s">
        <v>33</v>
      </c>
      <c r="X81" s="3" t="s">
        <v>34</v>
      </c>
      <c r="Y81" s="7">
        <v>351.50421929999999</v>
      </c>
      <c r="Z81" s="5">
        <f t="shared" si="4"/>
        <v>287.13699101600002</v>
      </c>
      <c r="AA81" s="6">
        <f t="shared" si="5"/>
        <v>43</v>
      </c>
    </row>
    <row r="82" spans="1:27" x14ac:dyDescent="0.25">
      <c r="A82" t="s">
        <v>27</v>
      </c>
      <c r="B82" t="s">
        <v>127</v>
      </c>
      <c r="C82" s="8">
        <v>8651.67268298206</v>
      </c>
      <c r="D82" s="3">
        <v>91.128318350000001</v>
      </c>
      <c r="E82" s="3">
        <v>75</v>
      </c>
      <c r="F82" s="3">
        <v>872</v>
      </c>
      <c r="G82" s="3">
        <v>39</v>
      </c>
      <c r="H82" s="3">
        <v>41</v>
      </c>
      <c r="I82" s="3" t="s">
        <v>154</v>
      </c>
      <c r="J82" s="6" t="s">
        <v>29</v>
      </c>
      <c r="K82" s="3">
        <v>14</v>
      </c>
      <c r="L82" s="3">
        <v>2</v>
      </c>
      <c r="M82" s="3" t="s">
        <v>36</v>
      </c>
      <c r="N82" s="3">
        <v>2.8331846789999999</v>
      </c>
      <c r="O82" s="3" t="s">
        <v>22</v>
      </c>
      <c r="P82" s="3" t="s">
        <v>55</v>
      </c>
      <c r="Q82" s="3">
        <v>8</v>
      </c>
      <c r="R82" s="3">
        <v>202</v>
      </c>
      <c r="S82" s="3">
        <v>5</v>
      </c>
      <c r="T82" s="3">
        <v>76.961228019999993</v>
      </c>
      <c r="U82" s="3" t="s">
        <v>39</v>
      </c>
      <c r="V82" s="3">
        <v>2.849662199</v>
      </c>
      <c r="W82" s="3" t="s">
        <v>49</v>
      </c>
      <c r="X82" s="3" t="s">
        <v>26</v>
      </c>
      <c r="Y82" s="7">
        <v>787.77985049999995</v>
      </c>
      <c r="Z82" s="5">
        <f t="shared" si="4"/>
        <v>707.98543780099999</v>
      </c>
      <c r="AA82" s="6">
        <f t="shared" si="5"/>
        <v>29</v>
      </c>
    </row>
    <row r="83" spans="1:27" x14ac:dyDescent="0.25">
      <c r="A83" t="s">
        <v>18</v>
      </c>
      <c r="B83" t="s">
        <v>128</v>
      </c>
      <c r="C83" s="8">
        <v>4384.4134000458598</v>
      </c>
      <c r="D83" s="3">
        <v>72.819206930000007</v>
      </c>
      <c r="E83" s="3">
        <v>9</v>
      </c>
      <c r="F83" s="3">
        <v>774</v>
      </c>
      <c r="G83" s="3">
        <v>48</v>
      </c>
      <c r="H83" s="3">
        <v>8</v>
      </c>
      <c r="I83" s="3" t="s">
        <v>154</v>
      </c>
      <c r="J83" s="6" t="s">
        <v>48</v>
      </c>
      <c r="K83" s="3">
        <v>6</v>
      </c>
      <c r="L83" s="3">
        <v>5</v>
      </c>
      <c r="M83" s="3" t="s">
        <v>21</v>
      </c>
      <c r="N83" s="3">
        <v>4.0662775020000002</v>
      </c>
      <c r="O83" s="3" t="s">
        <v>22</v>
      </c>
      <c r="P83" s="3" t="s">
        <v>43</v>
      </c>
      <c r="Q83" s="3">
        <v>28</v>
      </c>
      <c r="R83" s="3">
        <v>698</v>
      </c>
      <c r="S83" s="3">
        <v>1</v>
      </c>
      <c r="T83" s="3">
        <v>19.789592939999999</v>
      </c>
      <c r="U83" s="3" t="s">
        <v>24</v>
      </c>
      <c r="V83" s="3">
        <v>2.5475471220000001</v>
      </c>
      <c r="W83" s="3" t="s">
        <v>40</v>
      </c>
      <c r="X83" s="3" t="s">
        <v>26</v>
      </c>
      <c r="Y83" s="7">
        <v>276.7783359</v>
      </c>
      <c r="Z83" s="5">
        <f t="shared" si="4"/>
        <v>252.922465458</v>
      </c>
      <c r="AA83" s="6">
        <f t="shared" si="5"/>
        <v>40</v>
      </c>
    </row>
    <row r="84" spans="1:27" x14ac:dyDescent="0.25">
      <c r="A84" t="s">
        <v>27</v>
      </c>
      <c r="B84" t="s">
        <v>129</v>
      </c>
      <c r="C84" s="8">
        <v>2943.3818676094502</v>
      </c>
      <c r="D84" s="3">
        <v>17.03493074</v>
      </c>
      <c r="E84" s="3">
        <v>13</v>
      </c>
      <c r="F84" s="3">
        <v>336</v>
      </c>
      <c r="G84" s="3">
        <v>42</v>
      </c>
      <c r="H84" s="3">
        <v>72</v>
      </c>
      <c r="I84" s="3" t="s">
        <v>154</v>
      </c>
      <c r="J84" s="6" t="s">
        <v>29</v>
      </c>
      <c r="K84" s="3">
        <v>19</v>
      </c>
      <c r="L84" s="3">
        <v>1</v>
      </c>
      <c r="M84" s="3" t="s">
        <v>30</v>
      </c>
      <c r="N84" s="3">
        <v>4.7081818740000001</v>
      </c>
      <c r="O84" s="3" t="s">
        <v>54</v>
      </c>
      <c r="P84" s="3" t="s">
        <v>23</v>
      </c>
      <c r="Q84" s="3">
        <v>6</v>
      </c>
      <c r="R84" s="3">
        <v>955</v>
      </c>
      <c r="S84" s="3">
        <v>26</v>
      </c>
      <c r="T84" s="3">
        <v>4.4652784350000001</v>
      </c>
      <c r="U84" s="3" t="s">
        <v>24</v>
      </c>
      <c r="V84" s="3">
        <v>4.1378770490000001</v>
      </c>
      <c r="W84" s="3" t="s">
        <v>25</v>
      </c>
      <c r="X84" s="3" t="s">
        <v>34</v>
      </c>
      <c r="Y84" s="7">
        <v>589.97855560000005</v>
      </c>
      <c r="Z84" s="5">
        <f t="shared" si="4"/>
        <v>580.80509529100004</v>
      </c>
      <c r="AA84" s="6">
        <f t="shared" si="5"/>
        <v>52</v>
      </c>
    </row>
    <row r="85" spans="1:27" x14ac:dyDescent="0.25">
      <c r="A85" t="s">
        <v>18</v>
      </c>
      <c r="B85" t="s">
        <v>130</v>
      </c>
      <c r="C85" s="8">
        <v>2411.7546321104901</v>
      </c>
      <c r="D85" s="3">
        <v>68.911246210000002</v>
      </c>
      <c r="E85" s="3">
        <v>82</v>
      </c>
      <c r="F85" s="3">
        <v>663</v>
      </c>
      <c r="G85" s="3">
        <v>65</v>
      </c>
      <c r="H85" s="3">
        <v>7</v>
      </c>
      <c r="I85" s="3" t="s">
        <v>154</v>
      </c>
      <c r="J85" s="6" t="s">
        <v>48</v>
      </c>
      <c r="K85" s="3">
        <v>24</v>
      </c>
      <c r="L85" s="3">
        <v>8</v>
      </c>
      <c r="M85" s="3" t="s">
        <v>21</v>
      </c>
      <c r="N85" s="3">
        <v>4.9498395779999997</v>
      </c>
      <c r="O85" s="3" t="s">
        <v>32</v>
      </c>
      <c r="P85" s="3" t="s">
        <v>46</v>
      </c>
      <c r="Q85" s="3">
        <v>20</v>
      </c>
      <c r="R85" s="3">
        <v>443</v>
      </c>
      <c r="S85" s="3">
        <v>5</v>
      </c>
      <c r="T85" s="3">
        <v>97.730593799999994</v>
      </c>
      <c r="U85" s="3" t="s">
        <v>39</v>
      </c>
      <c r="V85" s="3">
        <v>0.77300613399999996</v>
      </c>
      <c r="W85" s="3" t="s">
        <v>25</v>
      </c>
      <c r="X85" s="3" t="s">
        <v>41</v>
      </c>
      <c r="Y85" s="7">
        <v>682.9710182</v>
      </c>
      <c r="Z85" s="5">
        <f t="shared" si="4"/>
        <v>580.29058482200003</v>
      </c>
      <c r="AA85" s="6">
        <f t="shared" si="5"/>
        <v>57</v>
      </c>
    </row>
    <row r="86" spans="1:27" x14ac:dyDescent="0.25">
      <c r="A86" t="s">
        <v>18</v>
      </c>
      <c r="B86" t="s">
        <v>131</v>
      </c>
      <c r="C86" s="8">
        <v>2048.2900998487098</v>
      </c>
      <c r="D86" s="3">
        <v>89.104367289999999</v>
      </c>
      <c r="E86" s="3">
        <v>99</v>
      </c>
      <c r="F86" s="3">
        <v>618</v>
      </c>
      <c r="G86" s="3">
        <v>73</v>
      </c>
      <c r="H86" s="3">
        <v>80</v>
      </c>
      <c r="I86" s="3" t="s">
        <v>154</v>
      </c>
      <c r="J86" s="6" t="s">
        <v>48</v>
      </c>
      <c r="K86" s="3">
        <v>26</v>
      </c>
      <c r="L86" s="3">
        <v>10</v>
      </c>
      <c r="M86" s="3" t="s">
        <v>30</v>
      </c>
      <c r="N86" s="3">
        <v>8.3816156250000002</v>
      </c>
      <c r="O86" s="3" t="s">
        <v>37</v>
      </c>
      <c r="P86" s="3" t="s">
        <v>55</v>
      </c>
      <c r="Q86" s="3">
        <v>24</v>
      </c>
      <c r="R86" s="3">
        <v>589</v>
      </c>
      <c r="S86" s="3">
        <v>22</v>
      </c>
      <c r="T86" s="3">
        <v>33.808636509999999</v>
      </c>
      <c r="U86" s="3" t="s">
        <v>57</v>
      </c>
      <c r="V86" s="3">
        <v>4.8434565770000004</v>
      </c>
      <c r="W86" s="3" t="s">
        <v>33</v>
      </c>
      <c r="X86" s="3" t="s">
        <v>26</v>
      </c>
      <c r="Y86" s="7">
        <v>465.45700599999998</v>
      </c>
      <c r="Z86" s="5">
        <f t="shared" si="4"/>
        <v>423.266753865</v>
      </c>
      <c r="AA86" s="6">
        <f t="shared" si="5"/>
        <v>82</v>
      </c>
    </row>
    <row r="87" spans="1:27" x14ac:dyDescent="0.25">
      <c r="A87" t="s">
        <v>50</v>
      </c>
      <c r="B87" t="s">
        <v>132</v>
      </c>
      <c r="C87" s="8">
        <v>8684.6130592538502</v>
      </c>
      <c r="D87" s="3">
        <v>76.962994420000001</v>
      </c>
      <c r="E87" s="3">
        <v>83</v>
      </c>
      <c r="F87" s="3">
        <v>25</v>
      </c>
      <c r="G87" s="3">
        <v>15</v>
      </c>
      <c r="H87" s="3">
        <v>66</v>
      </c>
      <c r="I87" s="3" t="s">
        <v>29</v>
      </c>
      <c r="J87" s="6" t="s">
        <v>29</v>
      </c>
      <c r="K87" s="3">
        <v>18</v>
      </c>
      <c r="L87" s="3">
        <v>2</v>
      </c>
      <c r="M87" s="3" t="s">
        <v>36</v>
      </c>
      <c r="N87" s="3">
        <v>8.2491687050000007</v>
      </c>
      <c r="O87" s="3" t="s">
        <v>37</v>
      </c>
      <c r="P87" s="3" t="s">
        <v>55</v>
      </c>
      <c r="Q87" s="3">
        <v>4</v>
      </c>
      <c r="R87" s="3">
        <v>211</v>
      </c>
      <c r="S87" s="3">
        <v>2</v>
      </c>
      <c r="T87" s="3">
        <v>69.929345519999998</v>
      </c>
      <c r="U87" s="3" t="s">
        <v>39</v>
      </c>
      <c r="V87" s="3">
        <v>1.3744289999999999</v>
      </c>
      <c r="W87" s="3" t="s">
        <v>25</v>
      </c>
      <c r="X87" s="3" t="s">
        <v>26</v>
      </c>
      <c r="Y87" s="7">
        <v>842.68682999999999</v>
      </c>
      <c r="Z87" s="5">
        <f t="shared" si="4"/>
        <v>764.50831577500003</v>
      </c>
      <c r="AA87" s="6">
        <f t="shared" si="5"/>
        <v>26</v>
      </c>
    </row>
    <row r="88" spans="1:27" x14ac:dyDescent="0.25">
      <c r="A88" t="s">
        <v>27</v>
      </c>
      <c r="B88" t="s">
        <v>133</v>
      </c>
      <c r="C88" s="8">
        <v>1229.59102856498</v>
      </c>
      <c r="D88" s="3">
        <v>19.99817694</v>
      </c>
      <c r="E88" s="3">
        <v>18</v>
      </c>
      <c r="F88" s="3">
        <v>223</v>
      </c>
      <c r="G88" s="3">
        <v>32</v>
      </c>
      <c r="H88" s="3">
        <v>22</v>
      </c>
      <c r="I88" s="3" t="s">
        <v>154</v>
      </c>
      <c r="J88" s="6" t="s">
        <v>29</v>
      </c>
      <c r="K88" s="3">
        <v>14</v>
      </c>
      <c r="L88" s="3">
        <v>6</v>
      </c>
      <c r="M88" s="3" t="s">
        <v>21</v>
      </c>
      <c r="N88" s="3">
        <v>1.4543053100000001</v>
      </c>
      <c r="O88" s="3" t="s">
        <v>32</v>
      </c>
      <c r="P88" s="3" t="s">
        <v>23</v>
      </c>
      <c r="Q88" s="3">
        <v>4</v>
      </c>
      <c r="R88" s="3">
        <v>569</v>
      </c>
      <c r="S88" s="3">
        <v>18</v>
      </c>
      <c r="T88" s="3">
        <v>74.608969999999999</v>
      </c>
      <c r="U88" s="3" t="s">
        <v>57</v>
      </c>
      <c r="V88" s="3">
        <v>2.051512931</v>
      </c>
      <c r="W88" s="3" t="s">
        <v>40</v>
      </c>
      <c r="X88" s="3" t="s">
        <v>41</v>
      </c>
      <c r="Y88" s="7">
        <v>264.2548898</v>
      </c>
      <c r="Z88" s="5">
        <f t="shared" si="4"/>
        <v>188.19161449000001</v>
      </c>
      <c r="AA88" s="6">
        <f t="shared" si="5"/>
        <v>42</v>
      </c>
    </row>
    <row r="89" spans="1:27" x14ac:dyDescent="0.25">
      <c r="A89" t="s">
        <v>18</v>
      </c>
      <c r="B89" t="s">
        <v>134</v>
      </c>
      <c r="C89" s="8">
        <v>5133.8467010866898</v>
      </c>
      <c r="D89" s="3">
        <v>80.41403665</v>
      </c>
      <c r="E89" s="3">
        <v>24</v>
      </c>
      <c r="F89" s="3">
        <v>79</v>
      </c>
      <c r="G89" s="3">
        <v>5</v>
      </c>
      <c r="H89" s="3">
        <v>55</v>
      </c>
      <c r="I89" s="3" t="s">
        <v>48</v>
      </c>
      <c r="J89" s="6" t="s">
        <v>48</v>
      </c>
      <c r="K89" s="3">
        <v>7</v>
      </c>
      <c r="L89" s="3">
        <v>10</v>
      </c>
      <c r="M89" s="3" t="s">
        <v>30</v>
      </c>
      <c r="N89" s="3">
        <v>6.5758037979999999</v>
      </c>
      <c r="O89" s="3" t="s">
        <v>22</v>
      </c>
      <c r="P89" s="3" t="s">
        <v>55</v>
      </c>
      <c r="Q89" s="3">
        <v>27</v>
      </c>
      <c r="R89" s="3">
        <v>523</v>
      </c>
      <c r="S89" s="3">
        <v>17</v>
      </c>
      <c r="T89" s="3">
        <v>28.696996819999999</v>
      </c>
      <c r="U89" s="3" t="s">
        <v>39</v>
      </c>
      <c r="V89" s="3">
        <v>3.693737788</v>
      </c>
      <c r="W89" s="3" t="s">
        <v>49</v>
      </c>
      <c r="X89" s="3" t="s">
        <v>26</v>
      </c>
      <c r="Y89" s="7">
        <v>879.35921770000004</v>
      </c>
      <c r="Z89" s="5">
        <f t="shared" si="4"/>
        <v>844.08641708200003</v>
      </c>
      <c r="AA89" s="6">
        <f t="shared" si="5"/>
        <v>61</v>
      </c>
    </row>
    <row r="90" spans="1:27" x14ac:dyDescent="0.25">
      <c r="A90" t="s">
        <v>50</v>
      </c>
      <c r="B90" t="s">
        <v>135</v>
      </c>
      <c r="C90" s="8">
        <v>9444.7420330000004</v>
      </c>
      <c r="D90" s="3">
        <v>75.270406980000004</v>
      </c>
      <c r="E90" s="3">
        <v>58</v>
      </c>
      <c r="F90" s="3">
        <v>737</v>
      </c>
      <c r="G90" s="3">
        <v>60</v>
      </c>
      <c r="H90" s="3">
        <v>85</v>
      </c>
      <c r="I90" s="3" t="s">
        <v>48</v>
      </c>
      <c r="J90" s="6" t="s">
        <v>48</v>
      </c>
      <c r="K90" s="3">
        <v>18</v>
      </c>
      <c r="L90" s="3">
        <v>7</v>
      </c>
      <c r="M90" s="3" t="s">
        <v>30</v>
      </c>
      <c r="N90" s="3">
        <v>3.8012531329999999</v>
      </c>
      <c r="O90" s="3" t="s">
        <v>54</v>
      </c>
      <c r="P90" s="3" t="s">
        <v>23</v>
      </c>
      <c r="Q90" s="3">
        <v>21</v>
      </c>
      <c r="R90" s="3">
        <v>953</v>
      </c>
      <c r="S90" s="3">
        <v>11</v>
      </c>
      <c r="T90" s="3">
        <v>68.184919059999999</v>
      </c>
      <c r="U90" s="3" t="s">
        <v>24</v>
      </c>
      <c r="V90" s="3">
        <v>0.72220440200000002</v>
      </c>
      <c r="W90" s="3" t="s">
        <v>49</v>
      </c>
      <c r="X90" s="3" t="s">
        <v>41</v>
      </c>
      <c r="Y90" s="7">
        <v>103.916248</v>
      </c>
      <c r="Z90" s="5">
        <f t="shared" si="4"/>
        <v>31.930075806999994</v>
      </c>
      <c r="AA90" s="6">
        <f t="shared" si="5"/>
        <v>57</v>
      </c>
    </row>
    <row r="91" spans="1:27" x14ac:dyDescent="0.25">
      <c r="A91" t="s">
        <v>50</v>
      </c>
      <c r="B91" t="s">
        <v>136</v>
      </c>
      <c r="C91" s="8">
        <v>5924.6825668532301</v>
      </c>
      <c r="D91" s="3">
        <v>97.760085579999995</v>
      </c>
      <c r="E91" s="3">
        <v>10</v>
      </c>
      <c r="F91" s="3">
        <v>134</v>
      </c>
      <c r="G91" s="3">
        <v>90</v>
      </c>
      <c r="H91" s="3">
        <v>27</v>
      </c>
      <c r="I91" s="3" t="s">
        <v>154</v>
      </c>
      <c r="J91" s="6" t="s">
        <v>29</v>
      </c>
      <c r="K91" s="3">
        <v>1</v>
      </c>
      <c r="L91" s="3">
        <v>8</v>
      </c>
      <c r="M91" s="3" t="s">
        <v>21</v>
      </c>
      <c r="N91" s="3">
        <v>9.9298162449999996</v>
      </c>
      <c r="O91" s="3" t="s">
        <v>32</v>
      </c>
      <c r="P91" s="3" t="s">
        <v>38</v>
      </c>
      <c r="Q91" s="3">
        <v>23</v>
      </c>
      <c r="R91" s="3">
        <v>370</v>
      </c>
      <c r="S91" s="3">
        <v>11</v>
      </c>
      <c r="T91" s="3">
        <v>46.603873380000003</v>
      </c>
      <c r="U91" s="3" t="s">
        <v>24</v>
      </c>
      <c r="V91" s="3">
        <v>1.9076657340000001</v>
      </c>
      <c r="W91" s="3" t="s">
        <v>40</v>
      </c>
      <c r="X91" s="3" t="s">
        <v>26</v>
      </c>
      <c r="Y91" s="7">
        <v>517.49997389999999</v>
      </c>
      <c r="Z91" s="5">
        <f t="shared" si="4"/>
        <v>460.96628427499996</v>
      </c>
      <c r="AA91" s="6">
        <f t="shared" si="5"/>
        <v>43</v>
      </c>
    </row>
    <row r="92" spans="1:27" x14ac:dyDescent="0.25">
      <c r="A92" t="s">
        <v>27</v>
      </c>
      <c r="B92" t="s">
        <v>137</v>
      </c>
      <c r="C92" s="8">
        <v>9592.6335702803099</v>
      </c>
      <c r="D92" s="3">
        <v>13.8819135</v>
      </c>
      <c r="E92" s="3">
        <v>56</v>
      </c>
      <c r="F92" s="3">
        <v>320</v>
      </c>
      <c r="G92" s="3">
        <v>66</v>
      </c>
      <c r="H92" s="3">
        <v>96</v>
      </c>
      <c r="I92" s="3" t="s">
        <v>20</v>
      </c>
      <c r="J92" s="6" t="s">
        <v>20</v>
      </c>
      <c r="K92" s="3">
        <v>18</v>
      </c>
      <c r="L92" s="3">
        <v>7</v>
      </c>
      <c r="M92" s="3" t="s">
        <v>21</v>
      </c>
      <c r="N92" s="3">
        <v>7.674430708</v>
      </c>
      <c r="O92" s="3" t="s">
        <v>22</v>
      </c>
      <c r="P92" s="3" t="s">
        <v>46</v>
      </c>
      <c r="Q92" s="3">
        <v>8</v>
      </c>
      <c r="R92" s="3">
        <v>585</v>
      </c>
      <c r="S92" s="3">
        <v>8</v>
      </c>
      <c r="T92" s="3">
        <v>85.675963339999996</v>
      </c>
      <c r="U92" s="3" t="s">
        <v>57</v>
      </c>
      <c r="V92" s="3">
        <v>1.2193822240000001</v>
      </c>
      <c r="W92" s="3" t="s">
        <v>40</v>
      </c>
      <c r="X92" s="3" t="s">
        <v>26</v>
      </c>
      <c r="Y92" s="7">
        <v>990.07847249999998</v>
      </c>
      <c r="Z92" s="5">
        <f t="shared" si="4"/>
        <v>896.72807845199998</v>
      </c>
      <c r="AA92" s="6">
        <f t="shared" si="5"/>
        <v>41</v>
      </c>
    </row>
    <row r="93" spans="1:27" x14ac:dyDescent="0.25">
      <c r="A93" t="s">
        <v>50</v>
      </c>
      <c r="B93" t="s">
        <v>138</v>
      </c>
      <c r="C93" s="8">
        <v>1935.20679350759</v>
      </c>
      <c r="D93" s="3">
        <v>62.11196546</v>
      </c>
      <c r="E93" s="3">
        <v>90</v>
      </c>
      <c r="F93" s="3">
        <v>916</v>
      </c>
      <c r="G93" s="3">
        <v>98</v>
      </c>
      <c r="H93" s="3">
        <v>85</v>
      </c>
      <c r="I93" s="3" t="s">
        <v>48</v>
      </c>
      <c r="J93" s="6" t="s">
        <v>48</v>
      </c>
      <c r="K93" s="3">
        <v>22</v>
      </c>
      <c r="L93" s="3">
        <v>7</v>
      </c>
      <c r="M93" s="3" t="s">
        <v>21</v>
      </c>
      <c r="N93" s="3">
        <v>7.4715140839999998</v>
      </c>
      <c r="O93" s="3" t="s">
        <v>45</v>
      </c>
      <c r="P93" s="3" t="s">
        <v>43</v>
      </c>
      <c r="Q93" s="3">
        <v>5</v>
      </c>
      <c r="R93" s="3">
        <v>207</v>
      </c>
      <c r="S93" s="3">
        <v>28</v>
      </c>
      <c r="T93" s="3">
        <v>39.772882500000001</v>
      </c>
      <c r="U93" s="3" t="s">
        <v>24</v>
      </c>
      <c r="V93" s="3">
        <v>0.62600185799999997</v>
      </c>
      <c r="W93" s="3" t="s">
        <v>40</v>
      </c>
      <c r="X93" s="3" t="s">
        <v>26</v>
      </c>
      <c r="Y93" s="7">
        <v>996.77831500000002</v>
      </c>
      <c r="Z93" s="5">
        <f t="shared" si="4"/>
        <v>949.53391841600001</v>
      </c>
      <c r="AA93" s="6">
        <f t="shared" si="5"/>
        <v>62</v>
      </c>
    </row>
    <row r="94" spans="1:27" x14ac:dyDescent="0.25">
      <c r="A94" t="s">
        <v>50</v>
      </c>
      <c r="B94" t="s">
        <v>139</v>
      </c>
      <c r="C94" s="8">
        <v>2100.1297546259302</v>
      </c>
      <c r="D94" s="3">
        <v>47.71423308</v>
      </c>
      <c r="E94" s="3">
        <v>44</v>
      </c>
      <c r="F94" s="3">
        <v>276</v>
      </c>
      <c r="G94" s="3">
        <v>90</v>
      </c>
      <c r="H94" s="3">
        <v>10</v>
      </c>
      <c r="I94" s="3" t="s">
        <v>48</v>
      </c>
      <c r="J94" s="6" t="s">
        <v>48</v>
      </c>
      <c r="K94" s="3">
        <v>25</v>
      </c>
      <c r="L94" s="3">
        <v>8</v>
      </c>
      <c r="M94" s="3" t="s">
        <v>21</v>
      </c>
      <c r="N94" s="3">
        <v>4.4695000260000004</v>
      </c>
      <c r="O94" s="3" t="s">
        <v>54</v>
      </c>
      <c r="P94" s="3" t="s">
        <v>23</v>
      </c>
      <c r="Q94" s="3">
        <v>4</v>
      </c>
      <c r="R94" s="3">
        <v>671</v>
      </c>
      <c r="S94" s="3">
        <v>29</v>
      </c>
      <c r="T94" s="3">
        <v>62.612690399999998</v>
      </c>
      <c r="U94" s="3" t="s">
        <v>57</v>
      </c>
      <c r="V94" s="3">
        <v>0.33343182500000002</v>
      </c>
      <c r="W94" s="3" t="s">
        <v>40</v>
      </c>
      <c r="X94" s="3" t="s">
        <v>26</v>
      </c>
      <c r="Y94" s="7">
        <v>230.0927825</v>
      </c>
      <c r="Z94" s="5">
        <f t="shared" si="4"/>
        <v>163.01059207399999</v>
      </c>
      <c r="AA94" s="6">
        <f t="shared" si="5"/>
        <v>66</v>
      </c>
    </row>
    <row r="95" spans="1:27" x14ac:dyDescent="0.25">
      <c r="A95" t="s">
        <v>18</v>
      </c>
      <c r="B95" t="s">
        <v>140</v>
      </c>
      <c r="C95" s="8">
        <v>4531.4021336919004</v>
      </c>
      <c r="D95" s="3">
        <v>69.290830999999997</v>
      </c>
      <c r="E95" s="3">
        <v>88</v>
      </c>
      <c r="F95" s="3">
        <v>114</v>
      </c>
      <c r="G95" s="3">
        <v>63</v>
      </c>
      <c r="H95" s="3">
        <v>66</v>
      </c>
      <c r="I95" s="3" t="s">
        <v>154</v>
      </c>
      <c r="J95" s="6" t="s">
        <v>48</v>
      </c>
      <c r="K95" s="3">
        <v>17</v>
      </c>
      <c r="L95" s="3">
        <v>1</v>
      </c>
      <c r="M95" s="3" t="s">
        <v>36</v>
      </c>
      <c r="N95" s="3">
        <v>7.0064320589999998</v>
      </c>
      <c r="O95" s="3" t="s">
        <v>45</v>
      </c>
      <c r="P95" s="3" t="s">
        <v>55</v>
      </c>
      <c r="Q95" s="3">
        <v>21</v>
      </c>
      <c r="R95" s="3">
        <v>824</v>
      </c>
      <c r="S95" s="3">
        <v>20</v>
      </c>
      <c r="T95" s="3">
        <v>35.633652339999998</v>
      </c>
      <c r="U95" s="3" t="s">
        <v>39</v>
      </c>
      <c r="V95" s="3">
        <v>4.165781795</v>
      </c>
      <c r="W95" s="3" t="s">
        <v>33</v>
      </c>
      <c r="X95" s="3" t="s">
        <v>41</v>
      </c>
      <c r="Y95" s="7">
        <v>823.52384589999997</v>
      </c>
      <c r="Z95" s="5">
        <f t="shared" si="4"/>
        <v>780.88376150099998</v>
      </c>
      <c r="AA95" s="6">
        <f t="shared" si="5"/>
        <v>59</v>
      </c>
    </row>
    <row r="96" spans="1:27" x14ac:dyDescent="0.25">
      <c r="A96" t="s">
        <v>50</v>
      </c>
      <c r="B96" t="s">
        <v>141</v>
      </c>
      <c r="C96" s="8">
        <v>7888.3565466618702</v>
      </c>
      <c r="D96" s="3">
        <v>3.0376887250000002</v>
      </c>
      <c r="E96" s="3">
        <v>97</v>
      </c>
      <c r="F96" s="3">
        <v>987</v>
      </c>
      <c r="G96" s="3">
        <v>77</v>
      </c>
      <c r="H96" s="3">
        <v>72</v>
      </c>
      <c r="I96" s="3" t="s">
        <v>154</v>
      </c>
      <c r="J96" s="6" t="s">
        <v>29</v>
      </c>
      <c r="K96" s="3">
        <v>26</v>
      </c>
      <c r="L96" s="3">
        <v>9</v>
      </c>
      <c r="M96" s="3" t="s">
        <v>21</v>
      </c>
      <c r="N96" s="3">
        <v>6.9429459419999997</v>
      </c>
      <c r="O96" s="3" t="s">
        <v>54</v>
      </c>
      <c r="P96" s="3" t="s">
        <v>43</v>
      </c>
      <c r="Q96" s="3">
        <v>12</v>
      </c>
      <c r="R96" s="3">
        <v>908</v>
      </c>
      <c r="S96" s="3">
        <v>14</v>
      </c>
      <c r="T96" s="3">
        <v>60.387378609999999</v>
      </c>
      <c r="U96" s="3" t="s">
        <v>57</v>
      </c>
      <c r="V96" s="3">
        <v>1.463607498</v>
      </c>
      <c r="W96" s="3" t="s">
        <v>40</v>
      </c>
      <c r="X96" s="3" t="s">
        <v>26</v>
      </c>
      <c r="Y96" s="7">
        <v>846.665257</v>
      </c>
      <c r="Z96" s="5">
        <f t="shared" si="4"/>
        <v>779.33493244800002</v>
      </c>
      <c r="AA96" s="6">
        <f t="shared" si="5"/>
        <v>61</v>
      </c>
    </row>
    <row r="97" spans="1:27" x14ac:dyDescent="0.25">
      <c r="A97" t="s">
        <v>18</v>
      </c>
      <c r="B97" t="s">
        <v>142</v>
      </c>
      <c r="C97" s="8">
        <v>7386.3639440486604</v>
      </c>
      <c r="D97" s="3">
        <v>77.90392722</v>
      </c>
      <c r="E97" s="3">
        <v>65</v>
      </c>
      <c r="F97" s="3">
        <v>672</v>
      </c>
      <c r="G97" s="3">
        <v>15</v>
      </c>
      <c r="H97" s="3">
        <v>26</v>
      </c>
      <c r="I97" s="3" t="s">
        <v>154</v>
      </c>
      <c r="J97" s="6" t="s">
        <v>48</v>
      </c>
      <c r="K97" s="3">
        <v>14</v>
      </c>
      <c r="L97" s="3">
        <v>9</v>
      </c>
      <c r="M97" s="3" t="s">
        <v>21</v>
      </c>
      <c r="N97" s="3">
        <v>8.6303388699999992</v>
      </c>
      <c r="O97" s="3" t="s">
        <v>45</v>
      </c>
      <c r="P97" s="3" t="s">
        <v>23</v>
      </c>
      <c r="Q97" s="3">
        <v>18</v>
      </c>
      <c r="R97" s="3">
        <v>450</v>
      </c>
      <c r="S97" s="3">
        <v>26</v>
      </c>
      <c r="T97" s="3">
        <v>58.890685769999997</v>
      </c>
      <c r="U97" s="3" t="s">
        <v>24</v>
      </c>
      <c r="V97" s="3">
        <v>1.2108821299999999</v>
      </c>
      <c r="W97" s="3" t="s">
        <v>33</v>
      </c>
      <c r="X97" s="3" t="s">
        <v>41</v>
      </c>
      <c r="Y97" s="7">
        <v>778.86424139999997</v>
      </c>
      <c r="Z97" s="5">
        <f t="shared" si="4"/>
        <v>711.34321676000002</v>
      </c>
      <c r="AA97" s="6">
        <f t="shared" si="5"/>
        <v>67</v>
      </c>
    </row>
    <row r="98" spans="1:27" x14ac:dyDescent="0.25">
      <c r="A98" t="s">
        <v>50</v>
      </c>
      <c r="B98" t="s">
        <v>143</v>
      </c>
      <c r="C98" s="8">
        <v>7698.4247656321104</v>
      </c>
      <c r="D98" s="3">
        <v>24.423131420000001</v>
      </c>
      <c r="E98" s="3">
        <v>29</v>
      </c>
      <c r="F98" s="3">
        <v>324</v>
      </c>
      <c r="G98" s="3">
        <v>67</v>
      </c>
      <c r="H98" s="3">
        <v>32</v>
      </c>
      <c r="I98" s="3" t="s">
        <v>20</v>
      </c>
      <c r="J98" s="6" t="s">
        <v>20</v>
      </c>
      <c r="K98" s="3">
        <v>2</v>
      </c>
      <c r="L98" s="3">
        <v>3</v>
      </c>
      <c r="M98" s="3" t="s">
        <v>36</v>
      </c>
      <c r="N98" s="3">
        <v>5.3528780439999997</v>
      </c>
      <c r="O98" s="3" t="s">
        <v>22</v>
      </c>
      <c r="P98" s="3" t="s">
        <v>23</v>
      </c>
      <c r="Q98" s="3">
        <v>28</v>
      </c>
      <c r="R98" s="3">
        <v>648</v>
      </c>
      <c r="S98" s="3">
        <v>28</v>
      </c>
      <c r="T98" s="3">
        <v>17.803756329999999</v>
      </c>
      <c r="U98" s="3" t="s">
        <v>24</v>
      </c>
      <c r="V98" s="3">
        <v>3.8720476810000002</v>
      </c>
      <c r="W98" s="3" t="s">
        <v>25</v>
      </c>
      <c r="X98" s="3" t="s">
        <v>41</v>
      </c>
      <c r="Y98" s="7">
        <v>188.7421411</v>
      </c>
      <c r="Z98" s="5">
        <f t="shared" ref="Z98:Z101" si="6">Y98-(T98+N98)</f>
        <v>165.58550672600001</v>
      </c>
      <c r="AA98" s="6">
        <f t="shared" si="5"/>
        <v>61</v>
      </c>
    </row>
    <row r="99" spans="1:27" x14ac:dyDescent="0.25">
      <c r="A99" t="s">
        <v>18</v>
      </c>
      <c r="B99" t="s">
        <v>144</v>
      </c>
      <c r="C99" s="8">
        <v>4370.9165799845296</v>
      </c>
      <c r="D99" s="3">
        <v>3.5261112589999999</v>
      </c>
      <c r="E99" s="3">
        <v>56</v>
      </c>
      <c r="F99" s="3">
        <v>62</v>
      </c>
      <c r="G99" s="3">
        <v>46</v>
      </c>
      <c r="H99" s="3">
        <v>4</v>
      </c>
      <c r="I99" s="3" t="s">
        <v>48</v>
      </c>
      <c r="J99" s="6" t="s">
        <v>48</v>
      </c>
      <c r="K99" s="3">
        <v>19</v>
      </c>
      <c r="L99" s="3">
        <v>9</v>
      </c>
      <c r="M99" s="3" t="s">
        <v>30</v>
      </c>
      <c r="N99" s="3">
        <v>7.9048456109999998</v>
      </c>
      <c r="O99" s="3" t="s">
        <v>45</v>
      </c>
      <c r="P99" s="3" t="s">
        <v>23</v>
      </c>
      <c r="Q99" s="3">
        <v>10</v>
      </c>
      <c r="R99" s="3">
        <v>535</v>
      </c>
      <c r="S99" s="3">
        <v>13</v>
      </c>
      <c r="T99" s="3">
        <v>65.765155930000006</v>
      </c>
      <c r="U99" s="3" t="s">
        <v>39</v>
      </c>
      <c r="V99" s="3">
        <v>3.376237835</v>
      </c>
      <c r="W99" s="3" t="s">
        <v>25</v>
      </c>
      <c r="X99" s="3" t="s">
        <v>41</v>
      </c>
      <c r="Y99" s="7">
        <v>540.13242290000005</v>
      </c>
      <c r="Z99" s="5">
        <f t="shared" si="6"/>
        <v>466.46242135900002</v>
      </c>
      <c r="AA99" s="6">
        <f t="shared" si="5"/>
        <v>51</v>
      </c>
    </row>
    <row r="100" spans="1:27" x14ac:dyDescent="0.25">
      <c r="A100" t="s">
        <v>27</v>
      </c>
      <c r="B100" t="s">
        <v>145</v>
      </c>
      <c r="C100" s="8">
        <v>8525.9525596835192</v>
      </c>
      <c r="D100" s="3">
        <v>19.754604870000001</v>
      </c>
      <c r="E100" s="3">
        <v>43</v>
      </c>
      <c r="F100" s="3">
        <v>913</v>
      </c>
      <c r="G100" s="3">
        <v>53</v>
      </c>
      <c r="H100" s="3">
        <v>27</v>
      </c>
      <c r="I100" s="3" t="s">
        <v>29</v>
      </c>
      <c r="J100" s="6" t="s">
        <v>29</v>
      </c>
      <c r="K100" s="3">
        <v>1</v>
      </c>
      <c r="L100" s="3">
        <v>7</v>
      </c>
      <c r="M100" s="3" t="s">
        <v>21</v>
      </c>
      <c r="N100" s="3">
        <v>1.4098010949999999</v>
      </c>
      <c r="O100" s="3" t="s">
        <v>37</v>
      </c>
      <c r="P100" s="3" t="s">
        <v>55</v>
      </c>
      <c r="Q100" s="3">
        <v>28</v>
      </c>
      <c r="R100" s="3">
        <v>581</v>
      </c>
      <c r="S100" s="3">
        <v>9</v>
      </c>
      <c r="T100" s="3">
        <v>5.6046908640000002</v>
      </c>
      <c r="U100" s="3" t="s">
        <v>24</v>
      </c>
      <c r="V100" s="3">
        <v>2.9081221689999999</v>
      </c>
      <c r="W100" s="3" t="s">
        <v>40</v>
      </c>
      <c r="X100" s="3" t="s">
        <v>41</v>
      </c>
      <c r="Y100" s="7">
        <v>882.19886350000002</v>
      </c>
      <c r="Z100" s="5">
        <f t="shared" si="6"/>
        <v>875.18437154100002</v>
      </c>
      <c r="AA100" s="6">
        <f t="shared" si="5"/>
        <v>45</v>
      </c>
    </row>
    <row r="101" spans="1:27" x14ac:dyDescent="0.25">
      <c r="A101" t="s">
        <v>18</v>
      </c>
      <c r="B101" t="s">
        <v>146</v>
      </c>
      <c r="C101" s="8">
        <v>9185.1858291817007</v>
      </c>
      <c r="D101" s="3">
        <v>68.5178327</v>
      </c>
      <c r="E101" s="3">
        <v>17</v>
      </c>
      <c r="F101" s="3">
        <v>627</v>
      </c>
      <c r="G101" s="3">
        <v>55</v>
      </c>
      <c r="H101" s="3">
        <v>59</v>
      </c>
      <c r="I101" s="3" t="s">
        <v>154</v>
      </c>
      <c r="J101" s="6" t="s">
        <v>48</v>
      </c>
      <c r="K101" s="3">
        <v>8</v>
      </c>
      <c r="L101" s="3">
        <v>6</v>
      </c>
      <c r="M101" s="3" t="s">
        <v>21</v>
      </c>
      <c r="N101" s="3">
        <v>1.311023756</v>
      </c>
      <c r="O101" s="3" t="s">
        <v>54</v>
      </c>
      <c r="P101" s="3" t="s">
        <v>55</v>
      </c>
      <c r="Q101" s="3">
        <v>29</v>
      </c>
      <c r="R101" s="3">
        <v>921</v>
      </c>
      <c r="S101" s="3">
        <v>2</v>
      </c>
      <c r="T101" s="3">
        <v>38.072898520000003</v>
      </c>
      <c r="U101" s="3" t="s">
        <v>39</v>
      </c>
      <c r="V101" s="3">
        <v>0.34602729100000001</v>
      </c>
      <c r="W101" s="3" t="s">
        <v>40</v>
      </c>
      <c r="X101" s="3" t="s">
        <v>26</v>
      </c>
      <c r="Y101" s="7">
        <v>210.743009</v>
      </c>
      <c r="Z101" s="5">
        <f t="shared" si="6"/>
        <v>171.35908672400001</v>
      </c>
      <c r="AA101" s="6">
        <f t="shared" si="5"/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</dc:creator>
  <cp:lastModifiedBy>Doaa Abdellatif Mahmoud Abo_Zeid</cp:lastModifiedBy>
  <dcterms:created xsi:type="dcterms:W3CDTF">2025-09-30T18:46:56Z</dcterms:created>
  <dcterms:modified xsi:type="dcterms:W3CDTF">2025-11-30T18:42:58Z</dcterms:modified>
</cp:coreProperties>
</file>